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HOAX_35\HX3.5-Firmware\docs\"/>
    </mc:Choice>
  </mc:AlternateContent>
  <bookViews>
    <workbookView xWindow="360" yWindow="60" windowWidth="30915" windowHeight="16425"/>
  </bookViews>
  <sheets>
    <sheet name="FPGA SPI" sheetId="3" r:id="rId1"/>
    <sheet name="Tabelle1" sheetId="4" r:id="rId2"/>
  </sheets>
  <calcPr calcId="162913"/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5" i="4"/>
  <c r="E16" i="4"/>
  <c r="E17" i="4"/>
  <c r="D2" i="4"/>
  <c r="E2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Q4" i="3" l="1"/>
  <c r="Q5" i="3"/>
  <c r="Q6" i="3"/>
  <c r="Q7" i="3"/>
  <c r="Q8" i="3"/>
  <c r="Q9" i="3"/>
  <c r="Q10" i="3"/>
  <c r="Q11" i="3"/>
  <c r="Q12" i="3"/>
  <c r="Q13" i="3"/>
  <c r="Q14" i="3"/>
  <c r="Q15" i="3"/>
  <c r="Q16" i="3"/>
  <c r="Q3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22" i="3"/>
  <c r="L36" i="3"/>
  <c r="L43" i="3"/>
  <c r="L40" i="3"/>
  <c r="L35" i="3"/>
  <c r="L33" i="3"/>
  <c r="L32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3" i="3"/>
  <c r="E51" i="3"/>
  <c r="F51" i="3"/>
  <c r="L44" i="3" l="1"/>
  <c r="L37" i="3"/>
  <c r="L38" i="3" l="1"/>
  <c r="L45" i="3"/>
  <c r="L39" i="3" l="1"/>
  <c r="L46" i="3"/>
  <c r="L47" i="3" l="1"/>
  <c r="L48" i="3" l="1"/>
  <c r="L49" i="3" l="1"/>
  <c r="F181" i="3" l="1"/>
  <c r="F170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4" i="3"/>
  <c r="F45" i="3"/>
  <c r="F46" i="3"/>
  <c r="F47" i="3"/>
  <c r="F48" i="3"/>
  <c r="F49" i="3"/>
  <c r="F50" i="3"/>
  <c r="F52" i="3"/>
  <c r="F57" i="3"/>
  <c r="F58" i="3"/>
  <c r="F59" i="3"/>
  <c r="F60" i="3"/>
  <c r="F61" i="3"/>
  <c r="F62" i="3"/>
  <c r="F63" i="3"/>
  <c r="F64" i="3"/>
  <c r="F65" i="3"/>
  <c r="F66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93" i="3"/>
  <c r="F94" i="3"/>
  <c r="F95" i="3"/>
  <c r="F96" i="3"/>
  <c r="F97" i="3"/>
  <c r="F98" i="3"/>
  <c r="F99" i="3"/>
  <c r="F100" i="3"/>
  <c r="F101" i="3"/>
  <c r="F102" i="3"/>
  <c r="F103" i="3"/>
  <c r="F104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6" i="3"/>
  <c r="F127" i="3"/>
  <c r="F128" i="3"/>
  <c r="F129" i="3"/>
  <c r="F130" i="3"/>
  <c r="F131" i="3"/>
  <c r="F132" i="3"/>
  <c r="F133" i="3"/>
  <c r="F134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9" i="3"/>
  <c r="F160" i="3"/>
  <c r="F161" i="3"/>
  <c r="F162" i="3"/>
  <c r="F163" i="3"/>
  <c r="F164" i="3"/>
  <c r="F165" i="3"/>
  <c r="F166" i="3"/>
  <c r="F167" i="3"/>
  <c r="F168" i="3"/>
  <c r="F169" i="3"/>
  <c r="F24" i="3"/>
  <c r="F8" i="3"/>
  <c r="E7" i="3"/>
  <c r="E8" i="3"/>
  <c r="F10" i="3"/>
  <c r="F11" i="3"/>
  <c r="F12" i="3"/>
  <c r="F13" i="3"/>
  <c r="F14" i="3"/>
  <c r="F15" i="3"/>
  <c r="F16" i="3"/>
  <c r="F17" i="3"/>
  <c r="F18" i="3"/>
  <c r="F19" i="3"/>
  <c r="F9" i="3"/>
  <c r="F7" i="3"/>
  <c r="F179" i="3"/>
  <c r="F178" i="3"/>
  <c r="F177" i="3"/>
  <c r="F176" i="3"/>
  <c r="F175" i="3"/>
  <c r="F4" i="3"/>
  <c r="F5" i="3"/>
  <c r="F6" i="3"/>
  <c r="F3" i="3"/>
  <c r="E6" i="3"/>
  <c r="E5" i="3"/>
  <c r="E4" i="3"/>
  <c r="E3" i="3"/>
  <c r="E178" i="3"/>
  <c r="E179" i="3"/>
  <c r="E177" i="3"/>
  <c r="E181" i="3"/>
  <c r="E176" i="3"/>
  <c r="E175" i="3"/>
  <c r="E160" i="3"/>
  <c r="E161" i="3"/>
  <c r="E162" i="3"/>
  <c r="E163" i="3"/>
  <c r="E164" i="3"/>
  <c r="E165" i="3"/>
  <c r="E166" i="3"/>
  <c r="E167" i="3"/>
  <c r="E168" i="3"/>
  <c r="E169" i="3"/>
  <c r="E170" i="3"/>
  <c r="E15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39" i="3"/>
  <c r="E138" i="3"/>
  <c r="E137" i="3"/>
  <c r="E136" i="3"/>
  <c r="E134" i="3"/>
  <c r="E133" i="3"/>
  <c r="E132" i="3"/>
  <c r="E131" i="3"/>
  <c r="E130" i="3"/>
  <c r="E129" i="3"/>
  <c r="E128" i="3"/>
  <c r="E127" i="3"/>
  <c r="E126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09" i="3"/>
  <c r="E94" i="3"/>
  <c r="E95" i="3"/>
  <c r="E96" i="3"/>
  <c r="E97" i="3"/>
  <c r="E98" i="3"/>
  <c r="E99" i="3"/>
  <c r="E100" i="3"/>
  <c r="E101" i="3"/>
  <c r="E102" i="3"/>
  <c r="E103" i="3"/>
  <c r="E104" i="3"/>
  <c r="E93" i="3"/>
  <c r="E81" i="3"/>
  <c r="E82" i="3"/>
  <c r="E83" i="3"/>
  <c r="E84" i="3"/>
  <c r="E85" i="3"/>
  <c r="E86" i="3"/>
  <c r="E87" i="3"/>
  <c r="E88" i="3"/>
  <c r="E80" i="3"/>
  <c r="E79" i="3"/>
  <c r="E78" i="3"/>
  <c r="E77" i="3"/>
  <c r="E76" i="3"/>
  <c r="E75" i="3"/>
  <c r="E74" i="3"/>
  <c r="E73" i="3"/>
  <c r="E72" i="3"/>
  <c r="E71" i="3"/>
  <c r="E58" i="3"/>
  <c r="E59" i="3"/>
  <c r="E60" i="3"/>
  <c r="E61" i="3"/>
  <c r="E62" i="3"/>
  <c r="E63" i="3"/>
  <c r="E64" i="3"/>
  <c r="E65" i="3"/>
  <c r="E66" i="3"/>
  <c r="E57" i="3"/>
  <c r="E45" i="3"/>
  <c r="E46" i="3"/>
  <c r="E47" i="3"/>
  <c r="E48" i="3"/>
  <c r="E49" i="3"/>
  <c r="E50" i="3"/>
  <c r="E52" i="3"/>
  <c r="E4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24" i="3"/>
  <c r="E9" i="3"/>
  <c r="E10" i="3"/>
  <c r="E11" i="3"/>
  <c r="E12" i="3"/>
  <c r="E13" i="3"/>
  <c r="E14" i="3"/>
  <c r="E15" i="3"/>
  <c r="E16" i="3"/>
  <c r="E17" i="3"/>
  <c r="E18" i="3"/>
  <c r="E19" i="3"/>
</calcChain>
</file>

<file path=xl/sharedStrings.xml><?xml version="1.0" encoding="utf-8"?>
<sst xmlns="http://schemas.openxmlformats.org/spreadsheetml/2006/main" count="401" uniqueCount="348">
  <si>
    <t>Name</t>
  </si>
  <si>
    <t>Upper Drawbars</t>
  </si>
  <si>
    <t>Lower Drawbars</t>
  </si>
  <si>
    <t>Pedal Drawbars</t>
  </si>
  <si>
    <t>SPI-Register im FPGA #12022026</t>
  </si>
  <si>
    <t>Read</t>
  </si>
  <si>
    <t>Write</t>
  </si>
  <si>
    <t>Width</t>
  </si>
  <si>
    <t>Register</t>
  </si>
  <si>
    <t>RST LoadCore</t>
  </si>
  <si>
    <t>INC LoadCore</t>
  </si>
  <si>
    <t>DNA Compare 1</t>
  </si>
  <si>
    <t>DNA Compare 0</t>
  </si>
  <si>
    <t>DNA Compare 0 (Write Licence Organ)</t>
  </si>
  <si>
    <t>DNA Compare 1 (Write Licence Extended)</t>
  </si>
  <si>
    <t>FIFO TX Status</t>
  </si>
  <si>
    <t>SAM D1 Status</t>
  </si>
  <si>
    <t>DSP SAM5504 ROW2</t>
  </si>
  <si>
    <t>MIDI RX Data</t>
  </si>
  <si>
    <t>vom FPGA an MCU</t>
  </si>
  <si>
    <t>FPGA VERSION</t>
  </si>
  <si>
    <t>THROB POS</t>
  </si>
  <si>
    <t>je obere zwei Bits Throb-Signale Horn L/R und Bass, LLRRBB</t>
  </si>
  <si>
    <t>DNA 0</t>
  </si>
  <si>
    <t>DNA 1</t>
  </si>
  <si>
    <t>LIC VALID</t>
  </si>
  <si>
    <t>SWAP DACs</t>
  </si>
  <si>
    <t>TEST SEL</t>
  </si>
  <si>
    <t>LA Testing</t>
  </si>
  <si>
    <t>INSERTS</t>
  </si>
  <si>
    <t>LEAK_RNDMASK</t>
  </si>
  <si>
    <t>DDS TUNING</t>
  </si>
  <si>
    <t>AMP IN LVL</t>
  </si>
  <si>
    <t>AMP OUT LVL</t>
  </si>
  <si>
    <t>MASTER VOLUME</t>
  </si>
  <si>
    <t>Pegelsteller I2S</t>
  </si>
  <si>
    <t>not used</t>
  </si>
  <si>
    <t>SPEED HORN</t>
  </si>
  <si>
    <t>SPEED ROTOR</t>
  </si>
  <si>
    <t>ROTRY INP LVL</t>
  </si>
  <si>
    <t>ROTRY HORN LVL</t>
  </si>
  <si>
    <t>ROTRY ROTOR LVL</t>
  </si>
  <si>
    <t>ROTRY HORN NEAR REFL LVL</t>
  </si>
  <si>
    <t>ROTRY HORN ROOM REFL LVL</t>
  </si>
  <si>
    <t>ROTRY XOVER FREQU</t>
  </si>
  <si>
    <t>ROTRY PRE DLY</t>
  </si>
  <si>
    <t>ROTRY DIFFUSE 1</t>
  </si>
  <si>
    <t>ROTRY DIFFUSE 2</t>
  </si>
  <si>
    <t>ROTRY DIFFUSE 3</t>
  </si>
  <si>
    <t>ROTRY DIFFUSE 4</t>
  </si>
  <si>
    <t>Phasengenerator Rotary</t>
  </si>
  <si>
    <t>LFO Mod Rotor Main</t>
  </si>
  <si>
    <t>LFO Mod Rotor Refl</t>
  </si>
  <si>
    <t>LFO Mod Rotor Throb</t>
  </si>
  <si>
    <t>LFO Phase Offset Horn Cab 4x</t>
  </si>
  <si>
    <t>LFO Phase Offset Rotor Main</t>
  </si>
  <si>
    <t>LFO Phase Offset Rotor Refl</t>
  </si>
  <si>
    <t>LFO Phase Offset Rotor Throb</t>
  </si>
  <si>
    <t>Horn FIR Filter Enable</t>
  </si>
  <si>
    <t>nc</t>
  </si>
  <si>
    <t>HX3.7</t>
  </si>
  <si>
    <t xml:space="preserve">PHR Feedback </t>
  </si>
  <si>
    <t xml:space="preserve">PHR Level Ph1 </t>
  </si>
  <si>
    <t xml:space="preserve">PHR Level Ph2 </t>
  </si>
  <si>
    <t xml:space="preserve">PHR Level Ph3 </t>
  </si>
  <si>
    <t xml:space="preserve">PHR Level Dry </t>
  </si>
  <si>
    <t xml:space="preserve">PHR Feedback Select </t>
  </si>
  <si>
    <t xml:space="preserve">PHR Ramp Delay </t>
  </si>
  <si>
    <t xml:space="preserve">PHR Mod Vari Ph1 </t>
  </si>
  <si>
    <t xml:space="preserve">PHR Mod Vari Ph2 </t>
  </si>
  <si>
    <t xml:space="preserve">PHR Mod Vari Ph3 </t>
  </si>
  <si>
    <t xml:space="preserve">PHR Mod Slow Ph1 </t>
  </si>
  <si>
    <t xml:space="preserve">PHR Mod Slow Ph2 </t>
  </si>
  <si>
    <t xml:space="preserve">PHR Mod Slow Ph3 </t>
  </si>
  <si>
    <t>VIB GEARING</t>
  </si>
  <si>
    <t>Noise: Bit 0, 1</t>
  </si>
  <si>
    <t>LC LINE DLY 0</t>
  </si>
  <si>
    <t>LC LINE DLY 1</t>
  </si>
  <si>
    <t>LC LINE DLY 2</t>
  </si>
  <si>
    <t>LC LINE DLY 3</t>
  </si>
  <si>
    <t>LC LINE DLY 4</t>
  </si>
  <si>
    <t>LC LINE DLY 5</t>
  </si>
  <si>
    <t>LC LINE DLY 6</t>
  </si>
  <si>
    <t>LC LINE DLY 7</t>
  </si>
  <si>
    <t>LC LINE DLY 8</t>
  </si>
  <si>
    <t>PERC ENA</t>
  </si>
  <si>
    <t>PERC VOL</t>
  </si>
  <si>
    <t>LOWER LVL</t>
  </si>
  <si>
    <t>PEDAL LVL</t>
  </si>
  <si>
    <t>PERC PRECHARGE TIME</t>
  </si>
  <si>
    <t>PERC DECAY TIME</t>
  </si>
  <si>
    <t>UPPER BB TO DRY ENA</t>
  </si>
  <si>
    <t>UPPER BB MECH CONT ENA</t>
  </si>
  <si>
    <t>UPPER BB ADSR ENA</t>
  </si>
  <si>
    <t>UPPER BB HARP SUST ENA</t>
  </si>
  <si>
    <t>LOWER BB ADSR ENA</t>
  </si>
  <si>
    <t>PED TO VIB LVL</t>
  </si>
  <si>
    <t>PED TO AO28 LVL</t>
  </si>
  <si>
    <t>PED TO BYPASS AMP</t>
  </si>
  <si>
    <t>AO28 MIDRANGE</t>
  </si>
  <si>
    <t>AO28 LOUDN TREBLE</t>
  </si>
  <si>
    <t>AO28 MIDRANGE SHELF</t>
  </si>
  <si>
    <t>AO28 FINAL GAIN</t>
  </si>
  <si>
    <t>AO28 TRIODE K2</t>
  </si>
  <si>
    <t>AO28 PEDAL LVL</t>
  </si>
  <si>
    <t>AO28 FREQU RESPONSE FINAL</t>
  </si>
  <si>
    <t>AO28 FREQU RESPONSE MIDRANGE</t>
  </si>
  <si>
    <t>AO28 BYPASS SEL</t>
  </si>
  <si>
    <t>Bit 0: Bypass all equalizing, Bit 1: Bypass Saturation/DC Reject</t>
  </si>
  <si>
    <t>Remarks</t>
  </si>
  <si>
    <t>Length</t>
  </si>
  <si>
    <t>Tapering</t>
  </si>
  <si>
    <t>ADSR Upper</t>
  </si>
  <si>
    <t>ADSR Lower</t>
  </si>
  <si>
    <t>ADSR Pedal</t>
  </si>
  <si>
    <t>Keymap</t>
  </si>
  <si>
    <t>Tube Amp Slope</t>
  </si>
  <si>
    <t>Tuning Vals</t>
  </si>
  <si>
    <t>512x2</t>
  </si>
  <si>
    <t>8192x2</t>
  </si>
  <si>
    <t>1024x4</t>
  </si>
  <si>
    <t>4096x2</t>
  </si>
  <si>
    <t>LoadCores</t>
  </si>
  <si>
    <t>AO28 Equalizer Filters</t>
  </si>
  <si>
    <t>Tube amp Gain</t>
  </si>
  <si>
    <t>Tube amp Out Lvl</t>
  </si>
  <si>
    <t>UPPER DRY LVL</t>
  </si>
  <si>
    <t>UPPER WET LVL</t>
  </si>
  <si>
    <t>Kann zum Vibrato gehen</t>
  </si>
  <si>
    <t>Nie zum Vibrato, B3-Percussion</t>
  </si>
  <si>
    <t>Bit 0: DSP  Bootloader-Update aktivieren wenn 1 nach DSP-Reset</t>
  </si>
  <si>
    <t>Bootloader beenden wenn wieder auf 0</t>
  </si>
  <si>
    <t>LEDs an AUX Port bei Expander</t>
  </si>
  <si>
    <t>Bit 0..2: Scan Local Disable, Bit 4..7: LED PWM-Wert bei Expander</t>
  </si>
  <si>
    <t>Aus Leslie-Inits</t>
  </si>
  <si>
    <t>War Invert Horn Phase</t>
  </si>
  <si>
    <t>Bit 0..4: Damping (Länge), Bit 4..7 Flex (Frequenz)</t>
  </si>
  <si>
    <t>Bit 0: Early Contact Scan, Bit 2: Lubed Contacts, Bit 2..7: Velocity Fac</t>
  </si>
  <si>
    <t>CycleSteal-Wert -125 .. +125</t>
  </si>
  <si>
    <t>Bit 0: PHR Upr, 1: PHR Lwr, 2:Vib On Upr, 3: Vib On Lwr, 4: Tube Amp On, 5: Spkr On, 6: Pedal Postmix, 7: External FX On</t>
  </si>
  <si>
    <t>Bit 0..3: TG Flutter, Bit 4..6: Leakage, Bit 7: Ena Generator Load Sim</t>
  </si>
  <si>
    <t>Swap DACs, Bit 0</t>
  </si>
  <si>
    <t>B3 Contacts für 15 Busbars</t>
  </si>
  <si>
    <t>ADSRs für 15 Busbars</t>
  </si>
  <si>
    <t>H100 Harp Sustain für 15 Busbars</t>
  </si>
  <si>
    <t>DRY-Routing für 15 Busbars</t>
  </si>
  <si>
    <t>Pegelsteller Pedal an Vibrato</t>
  </si>
  <si>
    <t>Pegelsteller Pedal am Vibrato vorbei, aber über AO28</t>
  </si>
  <si>
    <t>Pegelsteller Pedal Bypass, ggf. separater Ausgang</t>
  </si>
  <si>
    <t>Wert 0..255</t>
  </si>
  <si>
    <t>LC LINE DLY 9</t>
  </si>
  <si>
    <t>LC LINE DLY 10</t>
  </si>
  <si>
    <t>LC LINE DLY 11</t>
  </si>
  <si>
    <t>LC LINE DLY 12</t>
  </si>
  <si>
    <t>LC LINE DLY 13</t>
  </si>
  <si>
    <t>LC LINE DLY 14</t>
  </si>
  <si>
    <t>LC Line Taps, 15 ansteigende Verzögerungszeiten, berechnet</t>
  </si>
  <si>
    <t>Vibrato-Frequenz, 150 - "Scanner Gearing"</t>
  </si>
  <si>
    <t>Aus Leslie-Inits, Phasen-Offsets</t>
  </si>
  <si>
    <t>Generator Transpose, +1 = 1 Halbton nach oben</t>
  </si>
  <si>
    <t>Tastatur-Transpose, positive Werte verschieben Töne nach UNTEN!</t>
  </si>
  <si>
    <t>Splitmode wenn ON</t>
  </si>
  <si>
    <t>Splitpoint wenn ON</t>
  </si>
  <si>
    <t>C++ const</t>
  </si>
  <si>
    <t>Pascal const</t>
  </si>
  <si>
    <t>LFO Mod Horn Main L</t>
  </si>
  <si>
    <t>LFO Mod Horn Main R</t>
  </si>
  <si>
    <t>LFO Mod Horn Refl 1 L Near</t>
  </si>
  <si>
    <t>LFO Mod Horn Refl 1 R Near</t>
  </si>
  <si>
    <t>LFO Mod Horn Refl 2 R Far</t>
  </si>
  <si>
    <t>LFO Mod Horn Throb L</t>
  </si>
  <si>
    <t>LFO Mod Horn Throb R</t>
  </si>
  <si>
    <t>LFO Mod Horn Cab</t>
  </si>
  <si>
    <t>SAM Command</t>
  </si>
  <si>
    <t>Achtung: Überlappende Lese- und Schreibregister</t>
  </si>
  <si>
    <t>Seriennummer 1 aus FPGA</t>
  </si>
  <si>
    <t>Seriennummer 2 aus FPGA</t>
  </si>
  <si>
    <t>Bits 0 (Organ) und 1 (Extended License)</t>
  </si>
  <si>
    <t>SCAN MIDICH</t>
  </si>
  <si>
    <t>SCAN MIDIOPT</t>
  </si>
  <si>
    <t>SCAN SPLITMODE</t>
  </si>
  <si>
    <t>SCAN SPLIT ON</t>
  </si>
  <si>
    <t>SCAN SPLITPOINT</t>
  </si>
  <si>
    <t>SCAN CLICK</t>
  </si>
  <si>
    <t>SCAN KEY TRANSPOSE</t>
  </si>
  <si>
    <t>SCAN CONFIG 1</t>
  </si>
  <si>
    <t>SCAN GEN TRANSPOSE</t>
  </si>
  <si>
    <t>SCAN MIDISEND DISABLES</t>
  </si>
  <si>
    <t>SCAN PWM LOCALDISABLES</t>
  </si>
  <si>
    <t>SCAN PWM AUXPORT LEDS</t>
  </si>
  <si>
    <t>LFO Mod Horn Refl 2 L Far</t>
  </si>
  <si>
    <t>(nicht belegt)</t>
  </si>
  <si>
    <t>LC Core #</t>
  </si>
  <si>
    <t>PHR Speed Slow</t>
  </si>
  <si>
    <t>PHR Speed Fast</t>
  </si>
  <si>
    <t>PHR Speed Slow Fixed</t>
  </si>
  <si>
    <t>LFO Phase Offset Horn Main L</t>
  </si>
  <si>
    <t>LFO Phase Offset Horn Refl 1 L Near Cab</t>
  </si>
  <si>
    <t>LFO Phase Offset Horn Refl 2 L  Far</t>
  </si>
  <si>
    <t>LFO Phase Offset Horn Throb L  2 kHz</t>
  </si>
  <si>
    <t>LFO Phase Offset Horn Main R</t>
  </si>
  <si>
    <t>LFO Phase Offset Horn Refl 1 R Near Cab</t>
  </si>
  <si>
    <t>LFO Phase Offset Horn Refl 2 R Far</t>
  </si>
  <si>
    <t>LFO Phase Offset Horn Throb R 2 kHz</t>
  </si>
  <si>
    <t>Data: zu schreibende Daten</t>
  </si>
  <si>
    <t>Waveset</t>
  </si>
  <si>
    <t>Scan Driver</t>
  </si>
  <si>
    <t>Dataflash Blocknummern</t>
  </si>
  <si>
    <t>Block #</t>
  </si>
  <si>
    <t>taper_0</t>
  </si>
  <si>
    <t>taper_1</t>
  </si>
  <si>
    <t>taper_2</t>
  </si>
  <si>
    <t>taper_3</t>
  </si>
  <si>
    <t>waveset_0</t>
  </si>
  <si>
    <t>waveset_1</t>
  </si>
  <si>
    <t>waveset_2</t>
  </si>
  <si>
    <t>waveset_3</t>
  </si>
  <si>
    <t>waveset_4</t>
  </si>
  <si>
    <t>waveset_5</t>
  </si>
  <si>
    <t>waveset_6</t>
  </si>
  <si>
    <t>waveset_7</t>
  </si>
  <si>
    <t>core_base</t>
  </si>
  <si>
    <t>scan</t>
  </si>
  <si>
    <t>voice</t>
  </si>
  <si>
    <t>defaults</t>
  </si>
  <si>
    <t>eeprom</t>
  </si>
  <si>
    <t>taper_base</t>
  </si>
  <si>
    <t>waveset_base</t>
  </si>
  <si>
    <t>HP Filter</t>
  </si>
  <si>
    <t>fir_coeff</t>
  </si>
  <si>
    <t>aus DataFlash</t>
  </si>
  <si>
    <t>FIR coeff</t>
  </si>
  <si>
    <t>berechnet</t>
  </si>
  <si>
    <t>Größere Datenmengen werden nicht als SPI-Register egesetzt, sondern an einen "LoadCore"-Buffer im FPGA übertragen</t>
  </si>
  <si>
    <t>Registerinhalt: Core-Target-Nummer</t>
  </si>
  <si>
    <t>VIB DRY LVL</t>
  </si>
  <si>
    <t>VIB WET LVL</t>
  </si>
  <si>
    <t>VIB FLUTTER</t>
  </si>
  <si>
    <t>VIB PREMPH FREQU</t>
  </si>
  <si>
    <t>VIB MODWAVE PHASE</t>
  </si>
  <si>
    <t>VIB PhaseLk Shelv</t>
  </si>
  <si>
    <t>VIB LC Line Cutoff</t>
  </si>
  <si>
    <t>VIB LC Line Refle</t>
  </si>
  <si>
    <t>VIB LC Line FB</t>
  </si>
  <si>
    <t>VIB LC Line Age</t>
  </si>
  <si>
    <t>VIB PreEmph</t>
  </si>
  <si>
    <t>1024 x4</t>
  </si>
  <si>
    <t>512 x4</t>
  </si>
  <si>
    <t>8192 x2</t>
  </si>
  <si>
    <t>96 x2</t>
  </si>
  <si>
    <t>1024 x2</t>
  </si>
  <si>
    <t>512 x2</t>
  </si>
  <si>
    <t>128 x2</t>
  </si>
  <si>
    <t>2048 x4</t>
  </si>
  <si>
    <t>FPGA</t>
  </si>
  <si>
    <t>firmware</t>
  </si>
  <si>
    <t>Buffer für Update</t>
  </si>
  <si>
    <t>failsafe_base</t>
  </si>
  <si>
    <t>update_info</t>
  </si>
  <si>
    <t>Board Info</t>
  </si>
  <si>
    <t>MIDI CC Base</t>
  </si>
  <si>
    <t>Organ Model Base</t>
  </si>
  <si>
    <t>Speaker Model Base</t>
  </si>
  <si>
    <t>Preset Base</t>
  </si>
  <si>
    <t>100 Blöcke</t>
  </si>
  <si>
    <t>16 Blöcke</t>
  </si>
  <si>
    <t>Sicherungskopie</t>
  </si>
  <si>
    <t>Update List</t>
  </si>
  <si>
    <t>Filterkoeffizienten</t>
  </si>
  <si>
    <t>8 Wavesets</t>
  </si>
  <si>
    <t>4 Taperings</t>
  </si>
  <si>
    <t>HX3 Edit Array</t>
  </si>
  <si>
    <t>XC6S25 Binary, 196 Blöcke</t>
  </si>
  <si>
    <t>Füllstatus FIFO für Sendedaten MCU an FPGA</t>
  </si>
  <si>
    <t>AO28 LOUDN BASS</t>
  </si>
  <si>
    <t xml:space="preserve"> Word = 496;</t>
  </si>
  <si>
    <t xml:space="preserve"> Word = c_SystemInits + 1; // #1497</t>
  </si>
  <si>
    <t xml:space="preserve"> Word = c_SystemInits + 2; // #1498</t>
  </si>
  <si>
    <t xml:space="preserve"> Word = c_SystemInits + 3; // #1499 ALT</t>
  </si>
  <si>
    <t xml:space="preserve"> Word = c_SystemInits + 4; // #1500 ALT</t>
  </si>
  <si>
    <t xml:space="preserve"> Word = c_SystemInits + 5; // #1501</t>
  </si>
  <si>
    <t xml:space="preserve"> Word = c_SystemInits + 6; // #1502</t>
  </si>
  <si>
    <t xml:space="preserve"> Word = c_SystemInits + 7; // #1503</t>
  </si>
  <si>
    <t xml:space="preserve"> Word = c_SystemInits + 8; // #1504</t>
  </si>
  <si>
    <t xml:space="preserve"> Word = c_SystemInits + 9; // #1505</t>
  </si>
  <si>
    <t xml:space="preserve"> Word = c_SystemInits + 10; // #1506</t>
  </si>
  <si>
    <t xml:space="preserve"> Word = c_SystemInits + 11; // #1507</t>
  </si>
  <si>
    <t xml:space="preserve"> Word = c_SystemInits + 13; // #1509</t>
  </si>
  <si>
    <t xml:space="preserve"> Word = c_SystemInits + 14; // #1510</t>
  </si>
  <si>
    <t xml:space="preserve"> Word = c_SystemInits + 15; // #1511</t>
  </si>
  <si>
    <t>C++# defines</t>
  </si>
  <si>
    <t>c_SystemInits</t>
  </si>
  <si>
    <t>c_VibKnobMode</t>
  </si>
  <si>
    <t>c_RestoreCommonPresetMask</t>
  </si>
  <si>
    <t>c_ButtonMask0</t>
  </si>
  <si>
    <t>c_ButtonMask1</t>
  </si>
  <si>
    <t>c_ConfBits1</t>
  </si>
  <si>
    <t>c_ConfBits2</t>
  </si>
  <si>
    <t>c_ADCconfig</t>
  </si>
  <si>
    <t>c_1stDBselect</t>
  </si>
  <si>
    <t>c_2ndDBselect</t>
  </si>
  <si>
    <t>c_PedalDBsetup</t>
  </si>
  <si>
    <t>c_ADCscaling</t>
  </si>
  <si>
    <t>c_DeviceType</t>
  </si>
  <si>
    <t>c_PresetStructure</t>
  </si>
  <si>
    <t>c_EditMagicFlagIdx</t>
  </si>
  <si>
    <t>phases 0</t>
  </si>
  <si>
    <t>phases 1</t>
  </si>
  <si>
    <t>phases 2</t>
  </si>
  <si>
    <t>phases 3</t>
  </si>
  <si>
    <t>phases 4</t>
  </si>
  <si>
    <t>phases 5</t>
  </si>
  <si>
    <t>phases 6</t>
  </si>
  <si>
    <t>phases 7</t>
  </si>
  <si>
    <t>phases 8</t>
  </si>
  <si>
    <t>phases 9</t>
  </si>
  <si>
    <t>phases 10</t>
  </si>
  <si>
    <t>phases 11</t>
  </si>
  <si>
    <t>inits 0</t>
  </si>
  <si>
    <t>inits 1</t>
  </si>
  <si>
    <t>inits 2</t>
  </si>
  <si>
    <t>inits 3</t>
  </si>
  <si>
    <t>inits 4</t>
  </si>
  <si>
    <t>inits 5</t>
  </si>
  <si>
    <t>inits 6</t>
  </si>
  <si>
    <t>inits 7</t>
  </si>
  <si>
    <t>inits 8</t>
  </si>
  <si>
    <t>inits 9</t>
  </si>
  <si>
    <t>inits 10</t>
  </si>
  <si>
    <t>inits 11</t>
  </si>
  <si>
    <t>inits 12</t>
  </si>
  <si>
    <t>inits 13</t>
  </si>
  <si>
    <t>inits 14</t>
  </si>
  <si>
    <t>inits 15</t>
  </si>
  <si>
    <t>inits 16</t>
  </si>
  <si>
    <t>inits 17</t>
  </si>
  <si>
    <t>inits 18</t>
  </si>
  <si>
    <t>inits 19</t>
  </si>
  <si>
    <t>inits 20</t>
  </si>
  <si>
    <t>inits 21</t>
  </si>
  <si>
    <t>inits 22</t>
  </si>
  <si>
    <t>inits 23</t>
  </si>
  <si>
    <t>inits 24</t>
  </si>
  <si>
    <t>inits 25</t>
  </si>
  <si>
    <t>inits 26</t>
  </si>
  <si>
    <t>inits 27</t>
  </si>
  <si>
    <t>inits 28</t>
  </si>
  <si>
    <t>in liveCtrl berechnet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</si>
</sst>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9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0" borderId="0" xfId="0" quotePrefix="1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4" borderId="0" xfId="0" applyFont="1" applyFill="1" applyAlignment="1">
      <alignment horizontal="left" vertical="top"/>
    </xf>
    <xf numFmtId="0" fontId="5" fillId="7" borderId="0" xfId="0" applyFont="1" applyFill="1" applyAlignment="1">
      <alignment vertical="top"/>
    </xf>
    <xf numFmtId="0" fontId="5" fillId="3" borderId="0" xfId="0" applyFont="1" applyFill="1" applyAlignment="1">
      <alignment horizontal="left" vertical="top"/>
    </xf>
    <xf numFmtId="0" fontId="5" fillId="3" borderId="0" xfId="0" applyFont="1" applyFill="1" applyAlignment="1">
      <alignment vertical="top"/>
    </xf>
    <xf numFmtId="0" fontId="0" fillId="0" borderId="0" xfId="0" applyAlignment="1">
      <alignment horizontal="left"/>
    </xf>
    <xf numFmtId="0" fontId="4" fillId="11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2"/>
  <sheetViews>
    <sheetView tabSelected="1" topLeftCell="A26" workbookViewId="0">
      <selection activeCell="K139" sqref="K139"/>
    </sheetView>
  </sheetViews>
  <sheetFormatPr baseColWidth="10" defaultRowHeight="12.75" x14ac:dyDescent="0.2"/>
  <cols>
    <col min="1" max="1" width="8.42578125" style="3" customWidth="1"/>
    <col min="2" max="2" width="13.7109375" style="5" customWidth="1"/>
    <col min="3" max="3" width="33.42578125" style="5" customWidth="1"/>
    <col min="4" max="4" width="11.42578125" style="5"/>
    <col min="5" max="5" width="36" style="5" customWidth="1"/>
    <col min="6" max="6" width="32.28515625" style="5" customWidth="1"/>
    <col min="7" max="14" width="11.42578125" style="5"/>
    <col min="15" max="15" width="15.140625" style="5" customWidth="1"/>
    <col min="16" max="16" width="16.5703125" style="5" customWidth="1"/>
    <col min="17" max="17" width="26.28515625" style="5" customWidth="1"/>
    <col min="18" max="18" width="19.85546875" style="5" customWidth="1"/>
    <col min="19" max="16384" width="11.42578125" style="5"/>
  </cols>
  <sheetData>
    <row r="1" spans="1:18" ht="18.75" x14ac:dyDescent="0.3">
      <c r="A1" s="4" t="s">
        <v>4</v>
      </c>
      <c r="E1" s="18"/>
      <c r="F1" s="18"/>
      <c r="L1" s="4" t="s">
        <v>122</v>
      </c>
      <c r="N1" s="5" t="s">
        <v>233</v>
      </c>
    </row>
    <row r="2" spans="1:18" s="2" customFormat="1" ht="15" x14ac:dyDescent="0.25">
      <c r="A2" s="1" t="s">
        <v>8</v>
      </c>
      <c r="B2" s="1" t="s">
        <v>5</v>
      </c>
      <c r="C2" s="1" t="s">
        <v>6</v>
      </c>
      <c r="D2" s="1" t="s">
        <v>7</v>
      </c>
      <c r="E2" s="19" t="s">
        <v>163</v>
      </c>
      <c r="F2" s="19" t="s">
        <v>164</v>
      </c>
      <c r="G2" s="1" t="s">
        <v>109</v>
      </c>
      <c r="L2" s="1" t="s">
        <v>192</v>
      </c>
      <c r="M2" s="1" t="s">
        <v>110</v>
      </c>
      <c r="N2" s="1" t="s">
        <v>7</v>
      </c>
      <c r="O2" s="1" t="s">
        <v>0</v>
      </c>
    </row>
    <row r="3" spans="1:18" x14ac:dyDescent="0.2">
      <c r="A3" s="3">
        <v>0</v>
      </c>
      <c r="B3" s="11" t="s">
        <v>15</v>
      </c>
      <c r="D3" s="5">
        <v>32</v>
      </c>
      <c r="E3" s="17" t="str">
        <f>CONCATENATE("#define SPI_RD_",UPPER(SUBSTITUTE(B3," ","_"))," ",A3)</f>
        <v>#define SPI_RD_FIFO_TX_STATUS 0</v>
      </c>
      <c r="F3" s="21" t="str">
        <f>CONCATENATE("  c_spi_",LOWER(SUBSTITUTE(B3," ","_"))," = ",A3,";")</f>
        <v xml:space="preserve">  c_spi_fifo_tx_status = 0;</v>
      </c>
      <c r="G3" s="5" t="s">
        <v>273</v>
      </c>
      <c r="L3" s="5">
        <v>0</v>
      </c>
      <c r="M3" s="5" t="s">
        <v>253</v>
      </c>
      <c r="N3" s="5">
        <v>32</v>
      </c>
      <c r="O3" s="5" t="s">
        <v>206</v>
      </c>
      <c r="P3" s="5" t="s">
        <v>230</v>
      </c>
      <c r="Q3" s="17" t="str">
        <f>CONCATENATE("#define LCTARGET_",UPPER(SUBSTITUTE(O3," ","_"))," ",L3,"  // ",P3)</f>
        <v>#define LCTARGET_SCAN_DRIVER 0  // aus DataFlash</v>
      </c>
      <c r="R3" s="21" t="str">
        <f>CONCATENATE("  c_lctarget_",LOWER(SUBSTITUTE(O3," ","_"))," = ",L3,";")</f>
        <v xml:space="preserve">  c_lctarget_scan_driver = 0;</v>
      </c>
    </row>
    <row r="4" spans="1:18" x14ac:dyDescent="0.2">
      <c r="A4" s="3">
        <v>1</v>
      </c>
      <c r="B4" s="11" t="s">
        <v>16</v>
      </c>
      <c r="D4" s="5">
        <v>32</v>
      </c>
      <c r="E4" s="17" t="str">
        <f t="shared" ref="E4:E7" si="0">CONCATENATE("#define SPI_RD_",UPPER(SUBSTITUTE(B4," ","_"))," ",A4)</f>
        <v>#define SPI_RD_SAM_D1_STATUS 1</v>
      </c>
      <c r="F4" s="21" t="str">
        <f t="shared" ref="F4:F7" si="1">CONCATENATE("  c_spi_",LOWER(SUBSTITUTE(B4," ","_"))," = ",A4,";")</f>
        <v xml:space="preserve">  c_spi_sam_d1_status = 1;</v>
      </c>
      <c r="G4" s="5" t="s">
        <v>17</v>
      </c>
      <c r="L4" s="5">
        <v>1</v>
      </c>
      <c r="M4" s="5" t="s">
        <v>246</v>
      </c>
      <c r="N4" s="5">
        <v>32</v>
      </c>
      <c r="O4" s="5" t="s">
        <v>111</v>
      </c>
      <c r="P4" s="5" t="s">
        <v>230</v>
      </c>
      <c r="Q4" s="17" t="str">
        <f t="shared" ref="Q4:Q16" si="2">CONCATENATE("#define LCTARGET_",UPPER(SUBSTITUTE(O4," ","_"))," ",L4,"  // ",P4)</f>
        <v>#define LCTARGET_TAPERING 1  // aus DataFlash</v>
      </c>
      <c r="R4" s="21" t="str">
        <f t="shared" ref="R4:R16" si="3">CONCATENATE("  c_lctarget_",LOWER(SUBSTITUTE(O4," ","_"))," = ",L4,";")</f>
        <v xml:space="preserve">  c_lctarget_tapering = 1;</v>
      </c>
    </row>
    <row r="5" spans="1:18" x14ac:dyDescent="0.2">
      <c r="A5" s="3">
        <v>2</v>
      </c>
      <c r="B5" s="11" t="s">
        <v>18</v>
      </c>
      <c r="D5" s="5">
        <v>32</v>
      </c>
      <c r="E5" s="17" t="str">
        <f t="shared" si="0"/>
        <v>#define SPI_RD_MIDI_RX_DATA 2</v>
      </c>
      <c r="F5" s="21" t="str">
        <f t="shared" si="1"/>
        <v xml:space="preserve">  c_spi_midi_rx_data = 2;</v>
      </c>
      <c r="G5" s="5" t="s">
        <v>19</v>
      </c>
      <c r="L5" s="5">
        <v>2</v>
      </c>
      <c r="M5" s="5" t="s">
        <v>247</v>
      </c>
      <c r="N5" s="5">
        <v>32</v>
      </c>
      <c r="O5" s="5" t="s">
        <v>231</v>
      </c>
      <c r="P5" s="5" t="s">
        <v>230</v>
      </c>
      <c r="Q5" s="17" t="str">
        <f t="shared" si="2"/>
        <v>#define LCTARGET_FIR_COEFF 2  // aus DataFlash</v>
      </c>
      <c r="R5" s="21" t="str">
        <f t="shared" si="3"/>
        <v xml:space="preserve">  c_lctarget_fir_coeff = 2;</v>
      </c>
    </row>
    <row r="6" spans="1:18" x14ac:dyDescent="0.2">
      <c r="A6" s="3">
        <v>3</v>
      </c>
      <c r="B6" s="11" t="s">
        <v>20</v>
      </c>
      <c r="D6" s="5">
        <v>32</v>
      </c>
      <c r="E6" s="17" t="str">
        <f t="shared" si="0"/>
        <v>#define SPI_RD_FPGA_VERSION 3</v>
      </c>
      <c r="F6" s="21" t="str">
        <f t="shared" si="1"/>
        <v xml:space="preserve">  c_spi_fpga_version = 3;</v>
      </c>
      <c r="L6" s="5">
        <v>3</v>
      </c>
      <c r="M6" s="5">
        <v>1024</v>
      </c>
      <c r="N6" s="5">
        <v>8</v>
      </c>
      <c r="O6" s="5" t="s">
        <v>115</v>
      </c>
      <c r="P6" s="5" t="s">
        <v>232</v>
      </c>
      <c r="Q6" s="17" t="str">
        <f t="shared" si="2"/>
        <v>#define LCTARGET_KEYMAP 3  // berechnet</v>
      </c>
      <c r="R6" s="21" t="str">
        <f t="shared" si="3"/>
        <v xml:space="preserve">  c_lctarget_keymap = 3;</v>
      </c>
    </row>
    <row r="7" spans="1:18" x14ac:dyDescent="0.2">
      <c r="A7" s="3">
        <v>4</v>
      </c>
      <c r="B7" s="11" t="s">
        <v>21</v>
      </c>
      <c r="C7" s="11"/>
      <c r="D7" s="5">
        <v>32</v>
      </c>
      <c r="E7" s="17" t="str">
        <f t="shared" si="0"/>
        <v>#define SPI_RD_THROB_POS 4</v>
      </c>
      <c r="F7" s="21" t="str">
        <f t="shared" si="1"/>
        <v xml:space="preserve">  c_spi_throb_pos = 4;</v>
      </c>
      <c r="G7" s="5" t="s">
        <v>22</v>
      </c>
      <c r="L7" s="5">
        <v>4</v>
      </c>
      <c r="M7" s="5" t="s">
        <v>248</v>
      </c>
      <c r="N7" s="5">
        <v>16</v>
      </c>
      <c r="O7" s="5" t="s">
        <v>205</v>
      </c>
      <c r="P7" s="5" t="s">
        <v>230</v>
      </c>
      <c r="Q7" s="17" t="str">
        <f t="shared" si="2"/>
        <v>#define LCTARGET_WAVESET 4  // aus DataFlash</v>
      </c>
      <c r="R7" s="21" t="str">
        <f t="shared" si="3"/>
        <v xml:space="preserve">  c_lctarget_waveset = 4;</v>
      </c>
    </row>
    <row r="8" spans="1:18" x14ac:dyDescent="0.2">
      <c r="A8" s="3">
        <v>4</v>
      </c>
      <c r="B8" s="11"/>
      <c r="C8" s="11" t="s">
        <v>178</v>
      </c>
      <c r="D8" s="5">
        <v>8</v>
      </c>
      <c r="E8" s="17" t="str">
        <f>CONCATENATE("#define SPI_",UPPER(SUBSTITUTE(C8," ","_"))," ",A8)</f>
        <v>#define SPI_SCAN_MIDICH 4</v>
      </c>
      <c r="F8" s="21" t="str">
        <f>CONCATENATE("  c_spi_",LOWER(SUBSTITUTE(C8," ","_"))," = ",A8,";")</f>
        <v xml:space="preserve">  c_spi_scan_midich = 4;</v>
      </c>
      <c r="G8" s="20" t="s">
        <v>174</v>
      </c>
      <c r="L8" s="5">
        <v>5</v>
      </c>
      <c r="M8" s="5" t="s">
        <v>249</v>
      </c>
      <c r="N8" s="5">
        <v>16</v>
      </c>
      <c r="O8" s="5" t="s">
        <v>117</v>
      </c>
      <c r="P8" s="5" t="s">
        <v>232</v>
      </c>
      <c r="Q8" s="17" t="str">
        <f t="shared" si="2"/>
        <v>#define LCTARGET_TUNING_VALS 5  // berechnet</v>
      </c>
      <c r="R8" s="21" t="str">
        <f t="shared" si="3"/>
        <v xml:space="preserve">  c_lctarget_tuning_vals = 5;</v>
      </c>
    </row>
    <row r="9" spans="1:18" x14ac:dyDescent="0.2">
      <c r="A9" s="3">
        <v>5</v>
      </c>
      <c r="C9" s="11" t="s">
        <v>179</v>
      </c>
      <c r="D9" s="5">
        <v>8</v>
      </c>
      <c r="E9" s="17" t="str">
        <f t="shared" ref="E9:E19" si="4">CONCATENATE("#define SPI_",UPPER(SUBSTITUTE(C9," ","_"))," ",A9)</f>
        <v>#define SPI_SCAN_MIDIOPT 5</v>
      </c>
      <c r="F9" s="21" t="str">
        <f>CONCATENATE("  c_spi_",LOWER(SUBSTITUTE(C9," ","_"))," = ",A9,";")</f>
        <v xml:space="preserve">  c_spi_scan_midiopt = 5;</v>
      </c>
      <c r="L9" s="5">
        <v>6</v>
      </c>
      <c r="M9" s="5" t="s">
        <v>250</v>
      </c>
      <c r="N9" s="5">
        <v>16</v>
      </c>
      <c r="O9" s="5" t="s">
        <v>228</v>
      </c>
      <c r="P9" s="5" t="s">
        <v>232</v>
      </c>
      <c r="Q9" s="17" t="str">
        <f t="shared" si="2"/>
        <v>#define LCTARGET_HP_FILTER 6  // berechnet</v>
      </c>
      <c r="R9" s="21" t="str">
        <f t="shared" si="3"/>
        <v xml:space="preserve">  c_lctarget_hp_filter = 6;</v>
      </c>
    </row>
    <row r="10" spans="1:18" x14ac:dyDescent="0.2">
      <c r="A10" s="3">
        <v>6</v>
      </c>
      <c r="C10" s="11" t="s">
        <v>180</v>
      </c>
      <c r="D10" s="5">
        <v>8</v>
      </c>
      <c r="E10" s="17" t="str">
        <f t="shared" si="4"/>
        <v>#define SPI_SCAN_SPLITMODE 6</v>
      </c>
      <c r="F10" s="21" t="str">
        <f t="shared" ref="F10:F19" si="5">CONCATENATE("  c_spi_",LOWER(SUBSTITUTE(C10," ","_"))," = ",A10,";")</f>
        <v xml:space="preserve">  c_spi_scan_splitmode = 6;</v>
      </c>
      <c r="G10" s="5" t="s">
        <v>161</v>
      </c>
      <c r="L10" s="5">
        <v>7</v>
      </c>
      <c r="M10" s="5" t="s">
        <v>251</v>
      </c>
      <c r="N10" s="5">
        <v>16</v>
      </c>
      <c r="O10" s="5" t="s">
        <v>116</v>
      </c>
      <c r="P10" s="5" t="s">
        <v>232</v>
      </c>
      <c r="Q10" s="17" t="str">
        <f t="shared" si="2"/>
        <v>#define LCTARGET_TUBE_AMP_SLOPE 7  // berechnet</v>
      </c>
      <c r="R10" s="21" t="str">
        <f t="shared" si="3"/>
        <v xml:space="preserve">  c_lctarget_tube_amp_slope = 7;</v>
      </c>
    </row>
    <row r="11" spans="1:18" x14ac:dyDescent="0.2">
      <c r="A11" s="3">
        <v>7</v>
      </c>
      <c r="C11" s="11" t="s">
        <v>181</v>
      </c>
      <c r="D11" s="5">
        <v>8</v>
      </c>
      <c r="E11" s="17" t="str">
        <f t="shared" si="4"/>
        <v>#define SPI_SCAN_SPLIT_ON 7</v>
      </c>
      <c r="F11" s="21" t="str">
        <f t="shared" si="5"/>
        <v xml:space="preserve">  c_spi_scan_split_on = 7;</v>
      </c>
      <c r="L11" s="5">
        <v>8</v>
      </c>
      <c r="M11" s="5">
        <v>16</v>
      </c>
      <c r="N11" s="5">
        <v>8</v>
      </c>
      <c r="O11" s="5" t="s">
        <v>1</v>
      </c>
      <c r="P11" s="5" t="s">
        <v>232</v>
      </c>
      <c r="Q11" s="17" t="str">
        <f t="shared" si="2"/>
        <v>#define LCTARGET_UPPER_DRAWBARS 8  // berechnet</v>
      </c>
      <c r="R11" s="21" t="str">
        <f t="shared" si="3"/>
        <v xml:space="preserve">  c_lctarget_upper_drawbars = 8;</v>
      </c>
    </row>
    <row r="12" spans="1:18" x14ac:dyDescent="0.2">
      <c r="A12" s="3">
        <v>8</v>
      </c>
      <c r="C12" s="11" t="s">
        <v>182</v>
      </c>
      <c r="D12" s="5">
        <v>8</v>
      </c>
      <c r="E12" s="17" t="str">
        <f t="shared" si="4"/>
        <v>#define SPI_SCAN_SPLITPOINT 8</v>
      </c>
      <c r="F12" s="21" t="str">
        <f t="shared" si="5"/>
        <v xml:space="preserve">  c_spi_scan_splitpoint = 8;</v>
      </c>
      <c r="G12" s="5" t="s">
        <v>162</v>
      </c>
      <c r="L12" s="5">
        <v>9</v>
      </c>
      <c r="M12" s="5">
        <v>16</v>
      </c>
      <c r="N12" s="5">
        <v>8</v>
      </c>
      <c r="O12" s="5" t="s">
        <v>2</v>
      </c>
      <c r="P12" s="5" t="s">
        <v>232</v>
      </c>
      <c r="Q12" s="17" t="str">
        <f t="shared" si="2"/>
        <v>#define LCTARGET_LOWER_DRAWBARS 9  // berechnet</v>
      </c>
      <c r="R12" s="21" t="str">
        <f t="shared" si="3"/>
        <v xml:space="preserve">  c_lctarget_lower_drawbars = 9;</v>
      </c>
    </row>
    <row r="13" spans="1:18" x14ac:dyDescent="0.2">
      <c r="A13" s="3">
        <v>9</v>
      </c>
      <c r="C13" s="11" t="s">
        <v>183</v>
      </c>
      <c r="D13" s="5">
        <v>8</v>
      </c>
      <c r="E13" s="17" t="str">
        <f t="shared" si="4"/>
        <v>#define SPI_SCAN_CLICK 9</v>
      </c>
      <c r="F13" s="21" t="str">
        <f t="shared" si="5"/>
        <v xml:space="preserve">  c_spi_scan_click = 9;</v>
      </c>
      <c r="G13" s="5" t="s">
        <v>136</v>
      </c>
      <c r="L13" s="5">
        <v>10</v>
      </c>
      <c r="M13" s="5">
        <v>16</v>
      </c>
      <c r="N13" s="5">
        <v>8</v>
      </c>
      <c r="O13" s="5" t="s">
        <v>3</v>
      </c>
      <c r="P13" s="5" t="s">
        <v>232</v>
      </c>
      <c r="Q13" s="17" t="str">
        <f t="shared" si="2"/>
        <v>#define LCTARGET_PEDAL_DRAWBARS 10  // berechnet</v>
      </c>
      <c r="R13" s="21" t="str">
        <f t="shared" si="3"/>
        <v xml:space="preserve">  c_lctarget_pedal_drawbars = 10;</v>
      </c>
    </row>
    <row r="14" spans="1:18" x14ac:dyDescent="0.2">
      <c r="A14" s="3">
        <v>10</v>
      </c>
      <c r="C14" s="11" t="s">
        <v>184</v>
      </c>
      <c r="D14" s="5">
        <v>8</v>
      </c>
      <c r="E14" s="17" t="str">
        <f t="shared" si="4"/>
        <v>#define SPI_SCAN_KEY_TRANSPOSE 10</v>
      </c>
      <c r="F14" s="21" t="str">
        <f t="shared" si="5"/>
        <v xml:space="preserve">  c_spi_scan_key_transpose = 10;</v>
      </c>
      <c r="G14" s="5" t="s">
        <v>160</v>
      </c>
      <c r="L14" s="5">
        <v>11</v>
      </c>
      <c r="M14" s="5" t="s">
        <v>252</v>
      </c>
      <c r="N14" s="5">
        <v>16</v>
      </c>
      <c r="O14" s="5" t="s">
        <v>112</v>
      </c>
      <c r="P14" s="5" t="s">
        <v>232</v>
      </c>
      <c r="Q14" s="17" t="str">
        <f t="shared" si="2"/>
        <v>#define LCTARGET_ADSR_UPPER 11  // berechnet</v>
      </c>
      <c r="R14" s="21" t="str">
        <f t="shared" si="3"/>
        <v xml:space="preserve">  c_lctarget_adsr_upper = 11;</v>
      </c>
    </row>
    <row r="15" spans="1:18" x14ac:dyDescent="0.2">
      <c r="A15" s="3">
        <v>11</v>
      </c>
      <c r="C15" s="11" t="s">
        <v>185</v>
      </c>
      <c r="D15" s="5">
        <v>8</v>
      </c>
      <c r="E15" s="17" t="str">
        <f t="shared" si="4"/>
        <v>#define SPI_SCAN_CONFIG_1 11</v>
      </c>
      <c r="F15" s="21" t="str">
        <f t="shared" si="5"/>
        <v xml:space="preserve">  c_spi_scan_config_1 = 11;</v>
      </c>
      <c r="G15" s="5" t="s">
        <v>137</v>
      </c>
      <c r="L15" s="5">
        <v>12</v>
      </c>
      <c r="M15" s="5" t="s">
        <v>252</v>
      </c>
      <c r="N15" s="5">
        <v>16</v>
      </c>
      <c r="O15" s="5" t="s">
        <v>113</v>
      </c>
      <c r="P15" s="5" t="s">
        <v>232</v>
      </c>
      <c r="Q15" s="17" t="str">
        <f t="shared" si="2"/>
        <v>#define LCTARGET_ADSR_LOWER 12  // berechnet</v>
      </c>
      <c r="R15" s="21" t="str">
        <f t="shared" si="3"/>
        <v xml:space="preserve">  c_lctarget_adsr_lower = 12;</v>
      </c>
    </row>
    <row r="16" spans="1:18" x14ac:dyDescent="0.2">
      <c r="A16" s="3">
        <v>12</v>
      </c>
      <c r="C16" s="11" t="s">
        <v>186</v>
      </c>
      <c r="D16" s="5">
        <v>8</v>
      </c>
      <c r="E16" s="17" t="str">
        <f t="shared" si="4"/>
        <v>#define SPI_SCAN_GEN_TRANSPOSE 12</v>
      </c>
      <c r="F16" s="21" t="str">
        <f t="shared" si="5"/>
        <v xml:space="preserve">  c_spi_scan_gen_transpose = 12;</v>
      </c>
      <c r="G16" s="5" t="s">
        <v>159</v>
      </c>
      <c r="L16" s="5">
        <v>13</v>
      </c>
      <c r="M16" s="5" t="s">
        <v>252</v>
      </c>
      <c r="N16" s="5">
        <v>16</v>
      </c>
      <c r="O16" s="5" t="s">
        <v>114</v>
      </c>
      <c r="P16" s="5" t="s">
        <v>232</v>
      </c>
      <c r="Q16" s="17" t="str">
        <f t="shared" si="2"/>
        <v>#define LCTARGET_ADSR_PEDAL 13  // berechnet</v>
      </c>
      <c r="R16" s="21" t="str">
        <f t="shared" si="3"/>
        <v xml:space="preserve">  c_lctarget_adsr_pedal = 13;</v>
      </c>
    </row>
    <row r="17" spans="1:18" x14ac:dyDescent="0.2">
      <c r="A17" s="3">
        <v>13</v>
      </c>
      <c r="C17" s="11" t="s">
        <v>187</v>
      </c>
      <c r="D17" s="5">
        <v>8</v>
      </c>
      <c r="E17" s="17" t="str">
        <f t="shared" si="4"/>
        <v>#define SPI_SCAN_MIDISEND_DISABLES 13</v>
      </c>
      <c r="F17" s="21" t="str">
        <f t="shared" si="5"/>
        <v xml:space="preserve">  c_spi_scan_midisend_disables = 13;</v>
      </c>
      <c r="L17" s="5">
        <v>14</v>
      </c>
      <c r="O17" s="5" t="s">
        <v>191</v>
      </c>
    </row>
    <row r="18" spans="1:18" x14ac:dyDescent="0.2">
      <c r="A18" s="3">
        <v>14</v>
      </c>
      <c r="C18" s="11" t="s">
        <v>188</v>
      </c>
      <c r="D18" s="5">
        <v>8</v>
      </c>
      <c r="E18" s="17" t="str">
        <f t="shared" si="4"/>
        <v>#define SPI_SCAN_PWM_LOCALDISABLES 14</v>
      </c>
      <c r="F18" s="21" t="str">
        <f t="shared" si="5"/>
        <v xml:space="preserve">  c_spi_scan_pwm_localdisables = 14;</v>
      </c>
      <c r="G18" s="5" t="s">
        <v>133</v>
      </c>
      <c r="L18" s="5">
        <v>15</v>
      </c>
      <c r="O18" s="5" t="s">
        <v>191</v>
      </c>
    </row>
    <row r="19" spans="1:18" x14ac:dyDescent="0.2">
      <c r="A19" s="3">
        <v>15</v>
      </c>
      <c r="C19" s="11" t="s">
        <v>189</v>
      </c>
      <c r="D19" s="5">
        <v>8</v>
      </c>
      <c r="E19" s="17" t="str">
        <f t="shared" si="4"/>
        <v>#define SPI_SCAN_PWM_AUXPORT_LEDS 15</v>
      </c>
      <c r="F19" s="21" t="str">
        <f t="shared" si="5"/>
        <v xml:space="preserve">  c_spi_scan_pwm_auxport_leds = 15;</v>
      </c>
      <c r="G19" s="5" t="s">
        <v>132</v>
      </c>
    </row>
    <row r="20" spans="1:18" ht="15" x14ac:dyDescent="0.25">
      <c r="A20" s="3">
        <v>16</v>
      </c>
      <c r="L20" s="1" t="s">
        <v>207</v>
      </c>
    </row>
    <row r="21" spans="1:18" ht="15" x14ac:dyDescent="0.25">
      <c r="L21" s="1" t="s">
        <v>208</v>
      </c>
      <c r="M21" s="1" t="s">
        <v>110</v>
      </c>
      <c r="N21" s="1" t="s">
        <v>7</v>
      </c>
      <c r="O21" s="1" t="s">
        <v>0</v>
      </c>
    </row>
    <row r="22" spans="1:18" x14ac:dyDescent="0.2">
      <c r="L22" s="5">
        <v>0</v>
      </c>
      <c r="M22" s="5">
        <v>802816</v>
      </c>
      <c r="N22" s="5">
        <v>8</v>
      </c>
      <c r="O22" s="5" t="s">
        <v>254</v>
      </c>
      <c r="P22" s="5" t="s">
        <v>272</v>
      </c>
      <c r="Q22" s="17" t="str">
        <f>CONCATENATE("#define BLOCK_",UPPER(SUBSTITUTE(O22," ","_"))," ",L22,"  // ",P22)</f>
        <v>#define BLOCK_FPGA 0  // XC6S25 Binary, 196 Blöcke</v>
      </c>
      <c r="R22" s="21" t="str">
        <f>CONCATENATE("  c_",LOWER(SUBSTITUTE(O22," ","_")),": Word = ",L22,";  // ",P22)</f>
        <v xml:space="preserve">  c_fpga: Word = 0;  // XC6S25 Binary, 196 Blöcke</v>
      </c>
    </row>
    <row r="23" spans="1:18" x14ac:dyDescent="0.2">
      <c r="A23" s="3">
        <v>31</v>
      </c>
      <c r="L23" s="5">
        <v>320</v>
      </c>
      <c r="N23" s="5">
        <v>8</v>
      </c>
      <c r="O23" s="5" t="s">
        <v>257</v>
      </c>
      <c r="P23" s="5" t="s">
        <v>266</v>
      </c>
      <c r="Q23" s="17" t="str">
        <f t="shared" ref="Q23:Q50" si="6">CONCATENATE("#define BLOCK_",UPPER(SUBSTITUTE(O23," ","_"))," ",L23,"  // ",P23)</f>
        <v>#define BLOCK_FAILSAFE_BASE 320  // Sicherungskopie</v>
      </c>
      <c r="R23" s="21" t="str">
        <f t="shared" ref="R23:R50" si="7">CONCATENATE("  c_",LOWER(SUBSTITUTE(O23," ","_")),": Word = ",L23,";  // ",P23)</f>
        <v xml:space="preserve">  c_failsafe_base: Word = 320;  // Sicherungskopie</v>
      </c>
    </row>
    <row r="24" spans="1:18" x14ac:dyDescent="0.2">
      <c r="A24" s="3">
        <v>32</v>
      </c>
      <c r="C24" s="6" t="s">
        <v>85</v>
      </c>
      <c r="D24" s="5">
        <v>16</v>
      </c>
      <c r="E24" s="17" t="str">
        <f t="shared" ref="E24:E39" si="8">CONCATENATE("#define SPI_",UPPER(SUBSTITUTE(C24," ","_"))," ",A24)</f>
        <v>#define SPI_PERC_ENA 32</v>
      </c>
      <c r="F24" s="21" t="str">
        <f t="shared" ref="F24:F87" si="9">CONCATENATE("  c_spi_",LOWER(SUBSTITUTE(C24," ","_"))," = ",A24,";")</f>
        <v xml:space="preserve">  c_spi_perc_ena = 32;</v>
      </c>
      <c r="L24" s="5">
        <v>637</v>
      </c>
      <c r="O24" s="5" t="s">
        <v>258</v>
      </c>
      <c r="P24" s="5" t="s">
        <v>267</v>
      </c>
      <c r="Q24" s="17" t="str">
        <f t="shared" si="6"/>
        <v>#define BLOCK_UPDATE_INFO 637  // Update List</v>
      </c>
      <c r="R24" s="21" t="str">
        <f t="shared" si="7"/>
        <v xml:space="preserve">  c_update_info: Word = 637;  // Update List</v>
      </c>
    </row>
    <row r="25" spans="1:18" x14ac:dyDescent="0.2">
      <c r="A25" s="3">
        <v>33</v>
      </c>
      <c r="C25" s="6" t="s">
        <v>86</v>
      </c>
      <c r="D25" s="5">
        <v>16</v>
      </c>
      <c r="E25" s="17" t="str">
        <f t="shared" si="8"/>
        <v>#define SPI_PERC_VOL 33</v>
      </c>
      <c r="F25" s="21" t="str">
        <f t="shared" si="9"/>
        <v xml:space="preserve">  c_spi_perc_vol = 33;</v>
      </c>
      <c r="L25" s="5">
        <v>639</v>
      </c>
      <c r="O25" s="5" t="s">
        <v>259</v>
      </c>
      <c r="Q25" s="17" t="str">
        <f t="shared" si="6"/>
        <v xml:space="preserve">#define BLOCK_BOARD_INFO 639  // </v>
      </c>
      <c r="R25" s="21" t="str">
        <f t="shared" si="7"/>
        <v xml:space="preserve">  c_board_info: Word = 639;  // </v>
      </c>
    </row>
    <row r="26" spans="1:18" x14ac:dyDescent="0.2">
      <c r="A26" s="3">
        <v>34</v>
      </c>
      <c r="C26" s="6" t="s">
        <v>127</v>
      </c>
      <c r="D26" s="5">
        <v>16</v>
      </c>
      <c r="E26" s="17" t="str">
        <f t="shared" si="8"/>
        <v>#define SPI_UPPER_WET_LVL 34</v>
      </c>
      <c r="F26" s="21" t="str">
        <f t="shared" si="9"/>
        <v xml:space="preserve">  c_spi_upper_wet_lvl = 34;</v>
      </c>
      <c r="G26" s="5" t="s">
        <v>128</v>
      </c>
      <c r="L26" s="5">
        <v>768</v>
      </c>
      <c r="O26" s="5" t="s">
        <v>262</v>
      </c>
      <c r="P26" s="5" t="s">
        <v>265</v>
      </c>
      <c r="Q26" s="17" t="str">
        <f t="shared" si="6"/>
        <v>#define BLOCK_SPEAKER_MODEL_BASE 768  // 16 Blöcke</v>
      </c>
      <c r="R26" s="21" t="str">
        <f t="shared" si="7"/>
        <v xml:space="preserve">  c_speaker_model_base: Word = 768;  // 16 Blöcke</v>
      </c>
    </row>
    <row r="27" spans="1:18" x14ac:dyDescent="0.2">
      <c r="A27" s="3">
        <v>35</v>
      </c>
      <c r="C27" s="6" t="s">
        <v>87</v>
      </c>
      <c r="D27" s="5">
        <v>16</v>
      </c>
      <c r="E27" s="17" t="str">
        <f t="shared" si="8"/>
        <v>#define SPI_LOWER_LVL 35</v>
      </c>
      <c r="F27" s="21" t="str">
        <f t="shared" si="9"/>
        <v xml:space="preserve">  c_spi_lower_lvl = 35;</v>
      </c>
      <c r="L27" s="5">
        <v>784</v>
      </c>
      <c r="O27" s="5" t="s">
        <v>261</v>
      </c>
      <c r="P27" s="5" t="s">
        <v>265</v>
      </c>
      <c r="Q27" s="17" t="str">
        <f t="shared" si="6"/>
        <v>#define BLOCK_ORGAN_MODEL_BASE 784  // 16 Blöcke</v>
      </c>
      <c r="R27" s="21" t="str">
        <f t="shared" si="7"/>
        <v xml:space="preserve">  c_organ_model_base: Word = 784;  // 16 Blöcke</v>
      </c>
    </row>
    <row r="28" spans="1:18" x14ac:dyDescent="0.2">
      <c r="A28" s="3">
        <v>36</v>
      </c>
      <c r="C28" s="6" t="s">
        <v>88</v>
      </c>
      <c r="D28" s="5">
        <v>16</v>
      </c>
      <c r="E28" s="17" t="str">
        <f t="shared" si="8"/>
        <v>#define SPI_PEDAL_LVL 36</v>
      </c>
      <c r="F28" s="21" t="str">
        <f t="shared" si="9"/>
        <v xml:space="preserve">  c_spi_pedal_lvl = 36;</v>
      </c>
      <c r="L28" s="5">
        <v>800</v>
      </c>
      <c r="O28" s="5" t="s">
        <v>263</v>
      </c>
      <c r="P28" s="5" t="s">
        <v>264</v>
      </c>
      <c r="Q28" s="17" t="str">
        <f t="shared" si="6"/>
        <v>#define BLOCK_PRESET_BASE 800  // 100 Blöcke</v>
      </c>
      <c r="R28" s="21" t="str">
        <f t="shared" si="7"/>
        <v xml:space="preserve">  c_preset_base: Word = 800;  // 100 Blöcke</v>
      </c>
    </row>
    <row r="29" spans="1:18" x14ac:dyDescent="0.2">
      <c r="A29" s="3">
        <v>37</v>
      </c>
      <c r="C29" s="6" t="s">
        <v>126</v>
      </c>
      <c r="D29" s="5">
        <v>16</v>
      </c>
      <c r="E29" s="17" t="str">
        <f t="shared" si="8"/>
        <v>#define SPI_UPPER_DRY_LVL 37</v>
      </c>
      <c r="F29" s="21" t="str">
        <f t="shared" si="9"/>
        <v xml:space="preserve">  c_spi_upper_dry_lvl = 37;</v>
      </c>
      <c r="G29" s="5" t="s">
        <v>129</v>
      </c>
      <c r="L29" s="5">
        <v>928</v>
      </c>
      <c r="O29" s="5" t="s">
        <v>260</v>
      </c>
      <c r="P29" s="5" t="s">
        <v>265</v>
      </c>
      <c r="Q29" s="17" t="str">
        <f t="shared" si="6"/>
        <v>#define BLOCK_MIDI_CC_BASE 928  // 16 Blöcke</v>
      </c>
      <c r="R29" s="21" t="str">
        <f t="shared" si="7"/>
        <v xml:space="preserve">  c_midi_cc_base: Word = 928;  // 16 Blöcke</v>
      </c>
    </row>
    <row r="30" spans="1:18" x14ac:dyDescent="0.2">
      <c r="A30" s="3">
        <v>38</v>
      </c>
      <c r="C30" s="6" t="s">
        <v>89</v>
      </c>
      <c r="D30" s="5">
        <v>16</v>
      </c>
      <c r="E30" s="17" t="str">
        <f t="shared" si="8"/>
        <v>#define SPI_PERC_PRECHARGE_TIME 38</v>
      </c>
      <c r="F30" s="21" t="str">
        <f t="shared" si="9"/>
        <v xml:space="preserve">  c_spi_perc_precharge_time = 38;</v>
      </c>
      <c r="L30" s="5">
        <v>944</v>
      </c>
      <c r="N30" s="5">
        <v>32</v>
      </c>
      <c r="O30" s="5" t="s">
        <v>221</v>
      </c>
      <c r="Q30" s="17" t="str">
        <f t="shared" si="6"/>
        <v xml:space="preserve">#define BLOCK_CORE_BASE 944  // </v>
      </c>
      <c r="R30" s="21" t="str">
        <f t="shared" si="7"/>
        <v xml:space="preserve">  c_core_base: Word = 944;  // </v>
      </c>
    </row>
    <row r="31" spans="1:18" x14ac:dyDescent="0.2">
      <c r="A31" s="3">
        <v>39</v>
      </c>
      <c r="C31" s="6" t="s">
        <v>90</v>
      </c>
      <c r="D31" s="5">
        <v>16</v>
      </c>
      <c r="E31" s="17" t="str">
        <f t="shared" si="8"/>
        <v>#define SPI_PERC_DECAY_TIME 39</v>
      </c>
      <c r="F31" s="21" t="str">
        <f t="shared" si="9"/>
        <v xml:space="preserve">  c_spi_perc_decay_time = 39;</v>
      </c>
      <c r="L31" s="5">
        <v>944</v>
      </c>
      <c r="M31" s="5" t="s">
        <v>121</v>
      </c>
      <c r="N31" s="5">
        <v>32</v>
      </c>
      <c r="O31" s="5" t="s">
        <v>222</v>
      </c>
      <c r="Q31" s="17" t="str">
        <f t="shared" si="6"/>
        <v xml:space="preserve">#define BLOCK_SCAN 944  // </v>
      </c>
      <c r="R31" s="21" t="str">
        <f t="shared" si="7"/>
        <v xml:space="preserve">  c_scan: Word = 944;  // </v>
      </c>
    </row>
    <row r="32" spans="1:18" x14ac:dyDescent="0.2">
      <c r="A32" s="3">
        <v>40</v>
      </c>
      <c r="C32" s="6" t="s">
        <v>92</v>
      </c>
      <c r="D32" s="5">
        <v>16</v>
      </c>
      <c r="E32" s="17" t="str">
        <f t="shared" si="8"/>
        <v>#define SPI_UPPER_BB_MECH_CONT_ENA 40</v>
      </c>
      <c r="F32" s="21" t="str">
        <f t="shared" si="9"/>
        <v xml:space="preserve">  c_spi_upper_bb_mech_cont_ena = 40;</v>
      </c>
      <c r="G32" s="5" t="s">
        <v>142</v>
      </c>
      <c r="L32" s="5">
        <f>L31+2</f>
        <v>946</v>
      </c>
      <c r="M32" s="5">
        <v>4096</v>
      </c>
      <c r="N32" s="5">
        <v>8</v>
      </c>
      <c r="O32" s="5" t="s">
        <v>223</v>
      </c>
      <c r="Q32" s="17" t="str">
        <f t="shared" si="6"/>
        <v xml:space="preserve">#define BLOCK_VOICE 946  // </v>
      </c>
      <c r="R32" s="21" t="str">
        <f t="shared" si="7"/>
        <v xml:space="preserve">  c_voice: Word = 946;  // </v>
      </c>
    </row>
    <row r="33" spans="1:18" x14ac:dyDescent="0.2">
      <c r="A33" s="3">
        <v>41</v>
      </c>
      <c r="C33" s="6" t="s">
        <v>93</v>
      </c>
      <c r="D33" s="5">
        <v>16</v>
      </c>
      <c r="E33" s="17" t="str">
        <f t="shared" si="8"/>
        <v>#define SPI_UPPER_BB_ADSR_ENA 41</v>
      </c>
      <c r="F33" s="21" t="str">
        <f t="shared" si="9"/>
        <v xml:space="preserve">  c_spi_upper_bb_adsr_ena = 41;</v>
      </c>
      <c r="G33" s="5" t="s">
        <v>143</v>
      </c>
      <c r="L33" s="5">
        <f>L30+3</f>
        <v>947</v>
      </c>
      <c r="M33" s="5">
        <v>4096</v>
      </c>
      <c r="N33" s="5">
        <v>8</v>
      </c>
      <c r="O33" s="5" t="s">
        <v>224</v>
      </c>
      <c r="P33" s="5" t="s">
        <v>271</v>
      </c>
      <c r="Q33" s="17" t="str">
        <f t="shared" si="6"/>
        <v>#define BLOCK_DEFAULTS 947  // HX3 Edit Array</v>
      </c>
      <c r="R33" s="21" t="str">
        <f t="shared" si="7"/>
        <v xml:space="preserve">  c_defaults: Word = 947;  // HX3 Edit Array</v>
      </c>
    </row>
    <row r="34" spans="1:18" x14ac:dyDescent="0.2">
      <c r="A34" s="3">
        <v>42</v>
      </c>
      <c r="C34" s="6" t="s">
        <v>94</v>
      </c>
      <c r="D34" s="5">
        <v>16</v>
      </c>
      <c r="E34" s="17" t="str">
        <f t="shared" si="8"/>
        <v>#define SPI_UPPER_BB_HARP_SUST_ENA 42</v>
      </c>
      <c r="F34" s="21" t="str">
        <f t="shared" si="9"/>
        <v xml:space="preserve">  c_spi_upper_bb_harp_sust_ena = 42;</v>
      </c>
      <c r="G34" s="5" t="s">
        <v>144</v>
      </c>
      <c r="L34" s="5">
        <v>953</v>
      </c>
      <c r="M34" s="5">
        <v>4096</v>
      </c>
      <c r="N34" s="5">
        <v>8</v>
      </c>
      <c r="O34" s="5" t="s">
        <v>225</v>
      </c>
      <c r="Q34" s="17" t="str">
        <f t="shared" si="6"/>
        <v xml:space="preserve">#define BLOCK_EEPROM 953  // </v>
      </c>
      <c r="R34" s="21" t="str">
        <f t="shared" si="7"/>
        <v xml:space="preserve">  c_eeprom: Word = 953;  // </v>
      </c>
    </row>
    <row r="35" spans="1:18" x14ac:dyDescent="0.2">
      <c r="A35" s="3">
        <v>43</v>
      </c>
      <c r="C35" s="6" t="s">
        <v>91</v>
      </c>
      <c r="D35" s="5">
        <v>16</v>
      </c>
      <c r="E35" s="17" t="str">
        <f t="shared" si="8"/>
        <v>#define SPI_UPPER_BB_TO_DRY_ENA 43</v>
      </c>
      <c r="F35" s="21" t="str">
        <f t="shared" si="9"/>
        <v xml:space="preserve">  c_spi_upper_bb_to_dry_ena = 43;</v>
      </c>
      <c r="G35" s="5" t="s">
        <v>145</v>
      </c>
      <c r="L35" s="5">
        <f>L30+11</f>
        <v>955</v>
      </c>
      <c r="N35" s="5">
        <v>32</v>
      </c>
      <c r="O35" s="5" t="s">
        <v>226</v>
      </c>
      <c r="P35" s="5" t="s">
        <v>270</v>
      </c>
      <c r="Q35" s="17" t="str">
        <f t="shared" si="6"/>
        <v>#define BLOCK_TAPER_BASE 955  // 4 Taperings</v>
      </c>
      <c r="R35" s="21" t="str">
        <f t="shared" si="7"/>
        <v xml:space="preserve">  c_taper_base: Word = 955;  // 4 Taperings</v>
      </c>
    </row>
    <row r="36" spans="1:18" x14ac:dyDescent="0.2">
      <c r="A36" s="3">
        <v>44</v>
      </c>
      <c r="C36" s="6" t="s">
        <v>95</v>
      </c>
      <c r="D36" s="5">
        <v>16</v>
      </c>
      <c r="E36" s="17" t="str">
        <f t="shared" si="8"/>
        <v>#define SPI_LOWER_BB_ADSR_ENA 44</v>
      </c>
      <c r="F36" s="21" t="str">
        <f t="shared" si="9"/>
        <v xml:space="preserve">  c_spi_lower_bb_adsr_ena = 44;</v>
      </c>
      <c r="G36" s="5" t="s">
        <v>143</v>
      </c>
      <c r="L36" s="5">
        <f>L31+11</f>
        <v>955</v>
      </c>
      <c r="M36" s="5" t="s">
        <v>120</v>
      </c>
      <c r="N36" s="5">
        <v>32</v>
      </c>
      <c r="O36" s="5" t="s">
        <v>209</v>
      </c>
      <c r="Q36" s="17" t="str">
        <f t="shared" si="6"/>
        <v xml:space="preserve">#define BLOCK_TAPER_0 955  // </v>
      </c>
      <c r="R36" s="21" t="str">
        <f t="shared" si="7"/>
        <v xml:space="preserve">  c_taper_0: Word = 955;  // </v>
      </c>
    </row>
    <row r="37" spans="1:18" x14ac:dyDescent="0.2">
      <c r="A37" s="3">
        <v>45</v>
      </c>
      <c r="C37" s="6" t="s">
        <v>96</v>
      </c>
      <c r="D37" s="5">
        <v>16</v>
      </c>
      <c r="E37" s="17" t="str">
        <f t="shared" si="8"/>
        <v>#define SPI_PED_TO_VIB_LVL 45</v>
      </c>
      <c r="F37" s="21" t="str">
        <f t="shared" si="9"/>
        <v xml:space="preserve">  c_spi_ped_to_vib_lvl = 45;</v>
      </c>
      <c r="G37" s="5" t="s">
        <v>146</v>
      </c>
      <c r="L37" s="5">
        <f>L36+1</f>
        <v>956</v>
      </c>
      <c r="M37" s="5" t="s">
        <v>120</v>
      </c>
      <c r="N37" s="5">
        <v>32</v>
      </c>
      <c r="O37" s="5" t="s">
        <v>210</v>
      </c>
      <c r="Q37" s="17" t="str">
        <f t="shared" si="6"/>
        <v xml:space="preserve">#define BLOCK_TAPER_1 956  // </v>
      </c>
      <c r="R37" s="21" t="str">
        <f t="shared" si="7"/>
        <v xml:space="preserve">  c_taper_1: Word = 956;  // </v>
      </c>
    </row>
    <row r="38" spans="1:18" x14ac:dyDescent="0.2">
      <c r="A38" s="3">
        <v>46</v>
      </c>
      <c r="C38" s="6" t="s">
        <v>97</v>
      </c>
      <c r="D38" s="5">
        <v>16</v>
      </c>
      <c r="E38" s="17" t="str">
        <f t="shared" si="8"/>
        <v>#define SPI_PED_TO_AO28_LVL 46</v>
      </c>
      <c r="F38" s="21" t="str">
        <f t="shared" si="9"/>
        <v xml:space="preserve">  c_spi_ped_to_ao28_lvl = 46;</v>
      </c>
      <c r="G38" s="5" t="s">
        <v>147</v>
      </c>
      <c r="L38" s="5">
        <f t="shared" ref="L38:L39" si="10">L37+1</f>
        <v>957</v>
      </c>
      <c r="M38" s="5" t="s">
        <v>120</v>
      </c>
      <c r="N38" s="5">
        <v>32</v>
      </c>
      <c r="O38" s="5" t="s">
        <v>211</v>
      </c>
      <c r="Q38" s="17" t="str">
        <f t="shared" si="6"/>
        <v xml:space="preserve">#define BLOCK_TAPER_2 957  // </v>
      </c>
      <c r="R38" s="21" t="str">
        <f t="shared" si="7"/>
        <v xml:space="preserve">  c_taper_2: Word = 957;  // </v>
      </c>
    </row>
    <row r="39" spans="1:18" x14ac:dyDescent="0.2">
      <c r="A39" s="3">
        <v>47</v>
      </c>
      <c r="C39" s="6" t="s">
        <v>98</v>
      </c>
      <c r="D39" s="5">
        <v>16</v>
      </c>
      <c r="E39" s="17" t="str">
        <f t="shared" si="8"/>
        <v>#define SPI_PED_TO_BYPASS_AMP 47</v>
      </c>
      <c r="F39" s="21" t="str">
        <f t="shared" si="9"/>
        <v xml:space="preserve">  c_spi_ped_to_bypass_amp = 47;</v>
      </c>
      <c r="G39" s="5" t="s">
        <v>148</v>
      </c>
      <c r="L39" s="5">
        <f t="shared" si="10"/>
        <v>958</v>
      </c>
      <c r="M39" s="5" t="s">
        <v>120</v>
      </c>
      <c r="N39" s="5">
        <v>32</v>
      </c>
      <c r="O39" s="5" t="s">
        <v>212</v>
      </c>
      <c r="Q39" s="17" t="str">
        <f t="shared" si="6"/>
        <v xml:space="preserve">#define BLOCK_TAPER_3 958  // </v>
      </c>
      <c r="R39" s="21" t="str">
        <f t="shared" si="7"/>
        <v xml:space="preserve">  c_taper_3: Word = 958;  // </v>
      </c>
    </row>
    <row r="40" spans="1:18" x14ac:dyDescent="0.2">
      <c r="A40" s="3">
        <v>48</v>
      </c>
      <c r="F40" s="21"/>
      <c r="L40" s="5">
        <f>L30+15</f>
        <v>959</v>
      </c>
      <c r="M40" s="5" t="s">
        <v>118</v>
      </c>
      <c r="N40" s="5">
        <v>16</v>
      </c>
      <c r="O40" s="5" t="s">
        <v>229</v>
      </c>
      <c r="P40" s="5" t="s">
        <v>268</v>
      </c>
      <c r="Q40" s="17" t="str">
        <f t="shared" si="6"/>
        <v>#define BLOCK_FIR_COEFF 959  // Filterkoeffizienten</v>
      </c>
      <c r="R40" s="21" t="str">
        <f t="shared" si="7"/>
        <v xml:space="preserve">  c_fir_coeff: Word = 959;  // Filterkoeffizienten</v>
      </c>
    </row>
    <row r="41" spans="1:18" x14ac:dyDescent="0.2">
      <c r="F41" s="21"/>
      <c r="L41" s="5">
        <v>960</v>
      </c>
      <c r="N41" s="5">
        <v>16</v>
      </c>
      <c r="O41" s="5" t="s">
        <v>227</v>
      </c>
      <c r="P41" s="5" t="s">
        <v>269</v>
      </c>
      <c r="Q41" s="17" t="str">
        <f t="shared" si="6"/>
        <v>#define BLOCK_WAVESET_BASE 960  // 8 Wavesets</v>
      </c>
      <c r="R41" s="21" t="str">
        <f t="shared" si="7"/>
        <v xml:space="preserve">  c_waveset_base: Word = 960;  // 8 Wavesets</v>
      </c>
    </row>
    <row r="42" spans="1:18" x14ac:dyDescent="0.2">
      <c r="F42" s="21"/>
      <c r="L42" s="5">
        <v>960</v>
      </c>
      <c r="M42" s="5" t="s">
        <v>119</v>
      </c>
      <c r="N42" s="5">
        <v>16</v>
      </c>
      <c r="O42" s="5" t="s">
        <v>213</v>
      </c>
      <c r="Q42" s="17" t="str">
        <f t="shared" si="6"/>
        <v xml:space="preserve">#define BLOCK_WAVESET_0 960  // </v>
      </c>
      <c r="R42" s="21" t="str">
        <f t="shared" si="7"/>
        <v xml:space="preserve">  c_waveset_0: Word = 960;  // </v>
      </c>
    </row>
    <row r="43" spans="1:18" x14ac:dyDescent="0.2">
      <c r="A43" s="3">
        <v>63</v>
      </c>
      <c r="F43" s="21"/>
      <c r="L43" s="5">
        <f>L42+4</f>
        <v>964</v>
      </c>
      <c r="M43" s="5" t="s">
        <v>119</v>
      </c>
      <c r="N43" s="5">
        <v>16</v>
      </c>
      <c r="O43" s="5" t="s">
        <v>214</v>
      </c>
      <c r="Q43" s="17" t="str">
        <f t="shared" si="6"/>
        <v xml:space="preserve">#define BLOCK_WAVESET_1 964  // </v>
      </c>
      <c r="R43" s="21" t="str">
        <f t="shared" si="7"/>
        <v xml:space="preserve">  c_waveset_1: Word = 964;  // </v>
      </c>
    </row>
    <row r="44" spans="1:18" x14ac:dyDescent="0.2">
      <c r="A44" s="3">
        <v>64</v>
      </c>
      <c r="C44" s="7" t="s">
        <v>26</v>
      </c>
      <c r="D44" s="5">
        <v>8</v>
      </c>
      <c r="E44" s="17" t="str">
        <f t="shared" ref="E44:E52" si="11">CONCATENATE("#define SPI_",UPPER(SUBSTITUTE(C44," ","_"))," ",A44)</f>
        <v>#define SPI_SWAP_DACS 64</v>
      </c>
      <c r="F44" s="21" t="str">
        <f t="shared" si="9"/>
        <v xml:space="preserve">  c_spi_swap_dacs = 64;</v>
      </c>
      <c r="G44" s="5" t="s">
        <v>141</v>
      </c>
      <c r="L44" s="5">
        <f t="shared" ref="L44:L49" si="12">L43+4</f>
        <v>968</v>
      </c>
      <c r="M44" s="5" t="s">
        <v>119</v>
      </c>
      <c r="N44" s="5">
        <v>16</v>
      </c>
      <c r="O44" s="5" t="s">
        <v>215</v>
      </c>
      <c r="Q44" s="17" t="str">
        <f t="shared" si="6"/>
        <v xml:space="preserve">#define BLOCK_WAVESET_2 968  // </v>
      </c>
      <c r="R44" s="21" t="str">
        <f t="shared" si="7"/>
        <v xml:space="preserve">  c_waveset_2: Word = 968;  // </v>
      </c>
    </row>
    <row r="45" spans="1:18" x14ac:dyDescent="0.2">
      <c r="A45" s="3">
        <v>65</v>
      </c>
      <c r="C45" s="7" t="s">
        <v>27</v>
      </c>
      <c r="D45" s="5">
        <v>8</v>
      </c>
      <c r="E45" s="17" t="str">
        <f t="shared" si="11"/>
        <v>#define SPI_TEST_SEL 65</v>
      </c>
      <c r="F45" s="21" t="str">
        <f t="shared" si="9"/>
        <v xml:space="preserve">  c_spi_test_sel = 65;</v>
      </c>
      <c r="G45" s="5" t="s">
        <v>28</v>
      </c>
      <c r="L45" s="5">
        <f t="shared" si="12"/>
        <v>972</v>
      </c>
      <c r="M45" s="5" t="s">
        <v>119</v>
      </c>
      <c r="N45" s="5">
        <v>16</v>
      </c>
      <c r="O45" s="5" t="s">
        <v>216</v>
      </c>
      <c r="Q45" s="17" t="str">
        <f t="shared" si="6"/>
        <v xml:space="preserve">#define BLOCK_WAVESET_3 972  // </v>
      </c>
      <c r="R45" s="21" t="str">
        <f t="shared" si="7"/>
        <v xml:space="preserve">  c_waveset_3: Word = 972;  // </v>
      </c>
    </row>
    <row r="46" spans="1:18" x14ac:dyDescent="0.2">
      <c r="A46" s="3">
        <v>66</v>
      </c>
      <c r="C46" s="7" t="s">
        <v>29</v>
      </c>
      <c r="D46" s="16">
        <v>8</v>
      </c>
      <c r="E46" s="17" t="str">
        <f t="shared" si="11"/>
        <v>#define SPI_INSERTS 66</v>
      </c>
      <c r="F46" s="21" t="str">
        <f t="shared" si="9"/>
        <v xml:space="preserve">  c_spi_inserts = 66;</v>
      </c>
      <c r="G46" s="16" t="s">
        <v>139</v>
      </c>
      <c r="H46" s="16"/>
      <c r="I46" s="16"/>
      <c r="L46" s="5">
        <f t="shared" si="12"/>
        <v>976</v>
      </c>
      <c r="M46" s="5" t="s">
        <v>119</v>
      </c>
      <c r="N46" s="5">
        <v>16</v>
      </c>
      <c r="O46" s="5" t="s">
        <v>217</v>
      </c>
      <c r="Q46" s="17" t="str">
        <f t="shared" si="6"/>
        <v xml:space="preserve">#define BLOCK_WAVESET_4 976  // </v>
      </c>
      <c r="R46" s="21" t="str">
        <f t="shared" si="7"/>
        <v xml:space="preserve">  c_waveset_4: Word = 976;  // </v>
      </c>
    </row>
    <row r="47" spans="1:18" x14ac:dyDescent="0.2">
      <c r="A47" s="3">
        <v>67</v>
      </c>
      <c r="C47" s="7" t="s">
        <v>30</v>
      </c>
      <c r="D47" s="5">
        <v>8</v>
      </c>
      <c r="E47" s="17" t="str">
        <f t="shared" si="11"/>
        <v>#define SPI_LEAK_RNDMASK 67</v>
      </c>
      <c r="F47" s="21" t="str">
        <f t="shared" si="9"/>
        <v xml:space="preserve">  c_spi_leak_rndmask = 67;</v>
      </c>
      <c r="G47" s="5" t="s">
        <v>140</v>
      </c>
      <c r="L47" s="5">
        <f t="shared" si="12"/>
        <v>980</v>
      </c>
      <c r="M47" s="5" t="s">
        <v>119</v>
      </c>
      <c r="N47" s="5">
        <v>16</v>
      </c>
      <c r="O47" s="5" t="s">
        <v>218</v>
      </c>
      <c r="Q47" s="17" t="str">
        <f t="shared" si="6"/>
        <v xml:space="preserve">#define BLOCK_WAVESET_5 980  // </v>
      </c>
      <c r="R47" s="21" t="str">
        <f t="shared" si="7"/>
        <v xml:space="preserve">  c_waveset_5: Word = 980;  // </v>
      </c>
    </row>
    <row r="48" spans="1:18" x14ac:dyDescent="0.2">
      <c r="A48" s="3">
        <v>68</v>
      </c>
      <c r="C48" s="7" t="s">
        <v>31</v>
      </c>
      <c r="D48" s="5">
        <v>8</v>
      </c>
      <c r="E48" s="17" t="str">
        <f t="shared" si="11"/>
        <v>#define SPI_DDS_TUNING 68</v>
      </c>
      <c r="F48" s="21" t="str">
        <f t="shared" si="9"/>
        <v xml:space="preserve">  c_spi_dds_tuning = 68;</v>
      </c>
      <c r="G48" s="5" t="s">
        <v>138</v>
      </c>
      <c r="L48" s="5">
        <f t="shared" si="12"/>
        <v>984</v>
      </c>
      <c r="M48" s="5" t="s">
        <v>119</v>
      </c>
      <c r="N48" s="5">
        <v>16</v>
      </c>
      <c r="O48" s="5" t="s">
        <v>219</v>
      </c>
      <c r="Q48" s="17" t="str">
        <f t="shared" si="6"/>
        <v xml:space="preserve">#define BLOCK_WAVESET_6 984  // </v>
      </c>
      <c r="R48" s="21" t="str">
        <f t="shared" si="7"/>
        <v xml:space="preserve">  c_waveset_6: Word = 984;  // </v>
      </c>
    </row>
    <row r="49" spans="1:18" x14ac:dyDescent="0.2">
      <c r="A49" s="3">
        <v>69</v>
      </c>
      <c r="C49" s="7" t="s">
        <v>32</v>
      </c>
      <c r="D49" s="5">
        <v>8</v>
      </c>
      <c r="E49" s="17" t="str">
        <f t="shared" si="11"/>
        <v>#define SPI_AMP_IN_LVL 69</v>
      </c>
      <c r="F49" s="21" t="str">
        <f t="shared" si="9"/>
        <v xml:space="preserve">  c_spi_amp_in_lvl = 69;</v>
      </c>
      <c r="G49" s="5" t="s">
        <v>124</v>
      </c>
      <c r="L49" s="5">
        <f t="shared" si="12"/>
        <v>988</v>
      </c>
      <c r="M49" s="5" t="s">
        <v>119</v>
      </c>
      <c r="N49" s="5">
        <v>16</v>
      </c>
      <c r="O49" s="5" t="s">
        <v>220</v>
      </c>
      <c r="Q49" s="17" t="str">
        <f t="shared" si="6"/>
        <v xml:space="preserve">#define BLOCK_WAVESET_7 988  // </v>
      </c>
      <c r="R49" s="21" t="str">
        <f t="shared" si="7"/>
        <v xml:space="preserve">  c_waveset_7: Word = 988;  // </v>
      </c>
    </row>
    <row r="50" spans="1:18" x14ac:dyDescent="0.2">
      <c r="A50" s="3">
        <v>70</v>
      </c>
      <c r="C50" s="7" t="s">
        <v>33</v>
      </c>
      <c r="D50" s="5">
        <v>8</v>
      </c>
      <c r="E50" s="17" t="str">
        <f t="shared" si="11"/>
        <v>#define SPI_AMP_OUT_LVL 70</v>
      </c>
      <c r="F50" s="21" t="str">
        <f t="shared" si="9"/>
        <v xml:space="preserve">  c_spi_amp_out_lvl = 70;</v>
      </c>
      <c r="G50" s="5" t="s">
        <v>125</v>
      </c>
      <c r="L50" s="5">
        <v>992</v>
      </c>
      <c r="M50" s="5">
        <v>131072</v>
      </c>
      <c r="N50" s="5">
        <v>8</v>
      </c>
      <c r="O50" s="5" t="s">
        <v>255</v>
      </c>
      <c r="P50" s="5" t="s">
        <v>256</v>
      </c>
      <c r="Q50" s="17" t="str">
        <f t="shared" si="6"/>
        <v>#define BLOCK_FIRMWARE 992  // Buffer für Update</v>
      </c>
      <c r="R50" s="21" t="str">
        <f t="shared" si="7"/>
        <v xml:space="preserve">  c_firmware: Word = 992;  // Buffer für Update</v>
      </c>
    </row>
    <row r="51" spans="1:18" x14ac:dyDescent="0.2">
      <c r="A51" s="3">
        <v>71</v>
      </c>
      <c r="C51" s="7" t="s">
        <v>59</v>
      </c>
      <c r="D51" s="5">
        <v>8</v>
      </c>
      <c r="E51" s="17" t="str">
        <f t="shared" si="11"/>
        <v>#define SPI_NC 71</v>
      </c>
      <c r="F51" s="21" t="str">
        <f t="shared" si="9"/>
        <v xml:space="preserve">  c_spi_nc = 71;</v>
      </c>
    </row>
    <row r="52" spans="1:18" x14ac:dyDescent="0.2">
      <c r="A52" s="3">
        <v>72</v>
      </c>
      <c r="C52" s="7" t="s">
        <v>34</v>
      </c>
      <c r="D52" s="5">
        <v>8</v>
      </c>
      <c r="E52" s="17" t="str">
        <f t="shared" si="11"/>
        <v>#define SPI_MASTER_VOLUME 72</v>
      </c>
      <c r="F52" s="21" t="str">
        <f t="shared" si="9"/>
        <v xml:space="preserve">  c_spi_master_volume = 72;</v>
      </c>
      <c r="G52" s="5" t="s">
        <v>35</v>
      </c>
    </row>
    <row r="53" spans="1:18" x14ac:dyDescent="0.2">
      <c r="A53" s="3">
        <v>73</v>
      </c>
      <c r="F53" s="21"/>
    </row>
    <row r="54" spans="1:18" x14ac:dyDescent="0.2">
      <c r="F54" s="21"/>
      <c r="Q54" s="17"/>
    </row>
    <row r="55" spans="1:18" x14ac:dyDescent="0.2">
      <c r="F55" s="21"/>
      <c r="Q55" s="17"/>
    </row>
    <row r="56" spans="1:18" x14ac:dyDescent="0.2">
      <c r="A56" s="3">
        <v>79</v>
      </c>
      <c r="F56" s="21"/>
      <c r="Q56" s="17"/>
    </row>
    <row r="57" spans="1:18" x14ac:dyDescent="0.2">
      <c r="A57" s="3">
        <v>80</v>
      </c>
      <c r="C57" s="8" t="s">
        <v>274</v>
      </c>
      <c r="D57" s="5">
        <v>8</v>
      </c>
      <c r="E57" s="17" t="str">
        <f t="shared" ref="E57:E66" si="13">CONCATENATE("#define SPI_",UPPER(SUBSTITUTE(C57," ","_"))," ",A57)</f>
        <v>#define SPI_AO28_LOUDN_BASS 80</v>
      </c>
      <c r="F57" s="21" t="str">
        <f t="shared" si="9"/>
        <v xml:space="preserve">  c_spi_ao28_loudn_bass = 80;</v>
      </c>
      <c r="G57" s="5" t="s">
        <v>123</v>
      </c>
      <c r="Q57" s="17"/>
    </row>
    <row r="58" spans="1:18" x14ac:dyDescent="0.2">
      <c r="A58" s="3">
        <v>81</v>
      </c>
      <c r="C58" s="8" t="s">
        <v>99</v>
      </c>
      <c r="D58" s="5">
        <v>8</v>
      </c>
      <c r="E58" s="17" t="str">
        <f t="shared" si="13"/>
        <v>#define SPI_AO28_MIDRANGE 81</v>
      </c>
      <c r="F58" s="21" t="str">
        <f t="shared" si="9"/>
        <v xml:space="preserve">  c_spi_ao28_midrange = 81;</v>
      </c>
      <c r="Q58" s="17"/>
    </row>
    <row r="59" spans="1:18" x14ac:dyDescent="0.2">
      <c r="A59" s="3">
        <v>82</v>
      </c>
      <c r="C59" s="8" t="s">
        <v>100</v>
      </c>
      <c r="D59" s="5">
        <v>8</v>
      </c>
      <c r="E59" s="17" t="str">
        <f t="shared" si="13"/>
        <v>#define SPI_AO28_LOUDN_TREBLE 82</v>
      </c>
      <c r="F59" s="21" t="str">
        <f t="shared" si="9"/>
        <v xml:space="preserve">  c_spi_ao28_loudn_treble = 82;</v>
      </c>
      <c r="Q59" s="17"/>
    </row>
    <row r="60" spans="1:18" x14ac:dyDescent="0.2">
      <c r="A60" s="3">
        <v>83</v>
      </c>
      <c r="C60" s="8" t="s">
        <v>101</v>
      </c>
      <c r="D60" s="5">
        <v>8</v>
      </c>
      <c r="E60" s="17" t="str">
        <f t="shared" si="13"/>
        <v>#define SPI_AO28_MIDRANGE_SHELF 83</v>
      </c>
      <c r="F60" s="21" t="str">
        <f t="shared" si="9"/>
        <v xml:space="preserve">  c_spi_ao28_midrange_shelf = 83;</v>
      </c>
      <c r="Q60" s="17"/>
    </row>
    <row r="61" spans="1:18" x14ac:dyDescent="0.2">
      <c r="A61" s="3">
        <v>84</v>
      </c>
      <c r="C61" s="8" t="s">
        <v>102</v>
      </c>
      <c r="D61" s="5">
        <v>8</v>
      </c>
      <c r="E61" s="17" t="str">
        <f t="shared" si="13"/>
        <v>#define SPI_AO28_FINAL_GAIN 84</v>
      </c>
      <c r="F61" s="21" t="str">
        <f t="shared" si="9"/>
        <v xml:space="preserve">  c_spi_ao28_final_gain = 84;</v>
      </c>
      <c r="Q61" s="17"/>
    </row>
    <row r="62" spans="1:18" x14ac:dyDescent="0.2">
      <c r="A62" s="3">
        <v>85</v>
      </c>
      <c r="C62" s="8" t="s">
        <v>103</v>
      </c>
      <c r="D62" s="5">
        <v>8</v>
      </c>
      <c r="E62" s="17" t="str">
        <f t="shared" si="13"/>
        <v>#define SPI_AO28_TRIODE_K2 85</v>
      </c>
      <c r="F62" s="21" t="str">
        <f t="shared" si="9"/>
        <v xml:space="preserve">  c_spi_ao28_triode_k2 = 85;</v>
      </c>
    </row>
    <row r="63" spans="1:18" x14ac:dyDescent="0.2">
      <c r="A63" s="3">
        <v>86</v>
      </c>
      <c r="C63" s="8" t="s">
        <v>104</v>
      </c>
      <c r="D63" s="5">
        <v>8</v>
      </c>
      <c r="E63" s="17" t="str">
        <f t="shared" si="13"/>
        <v>#define SPI_AO28_PEDAL_LVL 86</v>
      </c>
      <c r="F63" s="21" t="str">
        <f t="shared" si="9"/>
        <v xml:space="preserve">  c_spi_ao28_pedal_lvl = 86;</v>
      </c>
    </row>
    <row r="64" spans="1:18" x14ac:dyDescent="0.2">
      <c r="A64" s="3">
        <v>87</v>
      </c>
      <c r="C64" s="8" t="s">
        <v>105</v>
      </c>
      <c r="D64" s="5">
        <v>8</v>
      </c>
      <c r="E64" s="17" t="str">
        <f t="shared" si="13"/>
        <v>#define SPI_AO28_FREQU_RESPONSE_FINAL 87</v>
      </c>
      <c r="F64" s="21" t="str">
        <f t="shared" si="9"/>
        <v xml:space="preserve">  c_spi_ao28_frequ_response_final = 87;</v>
      </c>
      <c r="Q64" s="17"/>
    </row>
    <row r="65" spans="1:17" x14ac:dyDescent="0.2">
      <c r="A65" s="3">
        <v>88</v>
      </c>
      <c r="C65" s="8" t="s">
        <v>106</v>
      </c>
      <c r="D65" s="5">
        <v>8</v>
      </c>
      <c r="E65" s="17" t="str">
        <f t="shared" si="13"/>
        <v>#define SPI_AO28_FREQU_RESPONSE_MIDRANGE 88</v>
      </c>
      <c r="F65" s="21" t="str">
        <f t="shared" si="9"/>
        <v xml:space="preserve">  c_spi_ao28_frequ_response_midrange = 88;</v>
      </c>
      <c r="Q65" s="17"/>
    </row>
    <row r="66" spans="1:17" x14ac:dyDescent="0.2">
      <c r="A66" s="3">
        <v>89</v>
      </c>
      <c r="C66" s="8" t="s">
        <v>107</v>
      </c>
      <c r="D66" s="5">
        <v>8</v>
      </c>
      <c r="E66" s="17" t="str">
        <f t="shared" si="13"/>
        <v>#define SPI_AO28_BYPASS_SEL 89</v>
      </c>
      <c r="F66" s="21" t="str">
        <f t="shared" si="9"/>
        <v xml:space="preserve">  c_spi_ao28_bypass_sel = 89;</v>
      </c>
      <c r="G66" s="5" t="s">
        <v>108</v>
      </c>
      <c r="Q66" s="17"/>
    </row>
    <row r="67" spans="1:17" x14ac:dyDescent="0.2">
      <c r="A67" s="3">
        <v>90</v>
      </c>
      <c r="F67" s="21"/>
    </row>
    <row r="68" spans="1:17" x14ac:dyDescent="0.2">
      <c r="F68" s="21"/>
    </row>
    <row r="69" spans="1:17" x14ac:dyDescent="0.2">
      <c r="F69" s="21"/>
    </row>
    <row r="70" spans="1:17" x14ac:dyDescent="0.2">
      <c r="A70" s="3">
        <v>111</v>
      </c>
      <c r="F70" s="21"/>
    </row>
    <row r="71" spans="1:17" x14ac:dyDescent="0.2">
      <c r="A71" s="3">
        <v>112</v>
      </c>
      <c r="C71" s="22" t="s">
        <v>193</v>
      </c>
      <c r="D71" s="5">
        <v>8</v>
      </c>
      <c r="E71" s="17" t="str">
        <f t="shared" ref="E71:E88" si="14">CONCATENATE("#define SPI_",UPPER(SUBSTITUTE(C71," ","_"))," ",A71)</f>
        <v>#define SPI_PHR_SPEED_SLOW 112</v>
      </c>
      <c r="F71" s="21" t="str">
        <f t="shared" si="9"/>
        <v xml:space="preserve">  c_spi_phr_speed_slow = 112;</v>
      </c>
    </row>
    <row r="72" spans="1:17" x14ac:dyDescent="0.2">
      <c r="A72" s="3">
        <v>113</v>
      </c>
      <c r="C72" s="22" t="s">
        <v>194</v>
      </c>
      <c r="D72" s="5">
        <v>8</v>
      </c>
      <c r="E72" s="17" t="str">
        <f t="shared" si="14"/>
        <v>#define SPI_PHR_SPEED_FAST 113</v>
      </c>
      <c r="F72" s="21" t="str">
        <f t="shared" si="9"/>
        <v xml:space="preserve">  c_spi_phr_speed_fast = 113;</v>
      </c>
    </row>
    <row r="73" spans="1:17" x14ac:dyDescent="0.2">
      <c r="A73" s="3">
        <v>114</v>
      </c>
      <c r="C73" s="22" t="s">
        <v>195</v>
      </c>
      <c r="D73" s="5">
        <v>8</v>
      </c>
      <c r="E73" s="17" t="str">
        <f t="shared" si="14"/>
        <v>#define SPI_PHR_SPEED_SLOW_FIXED 114</v>
      </c>
      <c r="F73" s="21" t="str">
        <f t="shared" si="9"/>
        <v xml:space="preserve">  c_spi_phr_speed_slow_fixed = 114;</v>
      </c>
    </row>
    <row r="74" spans="1:17" x14ac:dyDescent="0.2">
      <c r="A74" s="3">
        <v>115</v>
      </c>
      <c r="C74" s="22" t="s">
        <v>61</v>
      </c>
      <c r="D74" s="5">
        <v>8</v>
      </c>
      <c r="E74" s="17" t="str">
        <f t="shared" si="14"/>
        <v>#define SPI_PHR_FEEDBACK_ 115</v>
      </c>
      <c r="F74" s="21" t="str">
        <f t="shared" si="9"/>
        <v xml:space="preserve">  c_spi_phr_feedback_ = 115;</v>
      </c>
    </row>
    <row r="75" spans="1:17" x14ac:dyDescent="0.2">
      <c r="A75" s="3">
        <v>116</v>
      </c>
      <c r="C75" s="22" t="s">
        <v>62</v>
      </c>
      <c r="D75" s="5">
        <v>8</v>
      </c>
      <c r="E75" s="17" t="str">
        <f t="shared" si="14"/>
        <v>#define SPI_PHR_LEVEL_PH1_ 116</v>
      </c>
      <c r="F75" s="21" t="str">
        <f t="shared" si="9"/>
        <v xml:space="preserve">  c_spi_phr_level_ph1_ = 116;</v>
      </c>
    </row>
    <row r="76" spans="1:17" x14ac:dyDescent="0.2">
      <c r="A76" s="3">
        <v>117</v>
      </c>
      <c r="C76" s="22" t="s">
        <v>63</v>
      </c>
      <c r="D76" s="5">
        <v>8</v>
      </c>
      <c r="E76" s="17" t="str">
        <f t="shared" si="14"/>
        <v>#define SPI_PHR_LEVEL_PH2_ 117</v>
      </c>
      <c r="F76" s="21" t="str">
        <f t="shared" si="9"/>
        <v xml:space="preserve">  c_spi_phr_level_ph2_ = 117;</v>
      </c>
    </row>
    <row r="77" spans="1:17" x14ac:dyDescent="0.2">
      <c r="A77" s="3">
        <v>118</v>
      </c>
      <c r="C77" s="22" t="s">
        <v>64</v>
      </c>
      <c r="D77" s="5">
        <v>8</v>
      </c>
      <c r="E77" s="17" t="str">
        <f t="shared" si="14"/>
        <v>#define SPI_PHR_LEVEL_PH3_ 118</v>
      </c>
      <c r="F77" s="21" t="str">
        <f t="shared" si="9"/>
        <v xml:space="preserve">  c_spi_phr_level_ph3_ = 118;</v>
      </c>
    </row>
    <row r="78" spans="1:17" x14ac:dyDescent="0.2">
      <c r="A78" s="3">
        <v>119</v>
      </c>
      <c r="C78" s="22" t="s">
        <v>65</v>
      </c>
      <c r="D78" s="5">
        <v>8</v>
      </c>
      <c r="E78" s="17" t="str">
        <f t="shared" si="14"/>
        <v>#define SPI_PHR_LEVEL_DRY_ 119</v>
      </c>
      <c r="F78" s="21" t="str">
        <f t="shared" si="9"/>
        <v xml:space="preserve">  c_spi_phr_level_dry_ = 119;</v>
      </c>
    </row>
    <row r="79" spans="1:17" x14ac:dyDescent="0.2">
      <c r="A79" s="3">
        <v>120</v>
      </c>
      <c r="C79" s="22" t="s">
        <v>66</v>
      </c>
      <c r="D79" s="5">
        <v>8</v>
      </c>
      <c r="E79" s="17" t="str">
        <f t="shared" si="14"/>
        <v>#define SPI_PHR_FEEDBACK_SELECT_ 120</v>
      </c>
      <c r="F79" s="21" t="str">
        <f t="shared" si="9"/>
        <v xml:space="preserve">  c_spi_phr_feedback_select_ = 120;</v>
      </c>
    </row>
    <row r="80" spans="1:17" x14ac:dyDescent="0.2">
      <c r="A80" s="3">
        <v>121</v>
      </c>
      <c r="C80" s="22" t="s">
        <v>67</v>
      </c>
      <c r="D80" s="5">
        <v>8</v>
      </c>
      <c r="E80" s="17" t="str">
        <f t="shared" si="14"/>
        <v>#define SPI_PHR_RAMP_DELAY_ 121</v>
      </c>
      <c r="F80" s="21" t="str">
        <f t="shared" si="9"/>
        <v xml:space="preserve">  c_spi_phr_ramp_delay_ = 121;</v>
      </c>
    </row>
    <row r="81" spans="1:7" x14ac:dyDescent="0.2">
      <c r="A81" s="3">
        <v>122</v>
      </c>
      <c r="C81" s="22" t="s">
        <v>68</v>
      </c>
      <c r="D81" s="5">
        <v>8</v>
      </c>
      <c r="E81" s="17" t="str">
        <f t="shared" si="14"/>
        <v>#define SPI_PHR_MOD_VARI_PH1_ 122</v>
      </c>
      <c r="F81" s="21" t="str">
        <f t="shared" si="9"/>
        <v xml:space="preserve">  c_spi_phr_mod_vari_ph1_ = 122;</v>
      </c>
    </row>
    <row r="82" spans="1:7" x14ac:dyDescent="0.2">
      <c r="A82" s="3">
        <v>123</v>
      </c>
      <c r="C82" s="22" t="s">
        <v>69</v>
      </c>
      <c r="D82" s="5">
        <v>8</v>
      </c>
      <c r="E82" s="17" t="str">
        <f t="shared" si="14"/>
        <v>#define SPI_PHR_MOD_VARI_PH2_ 123</v>
      </c>
      <c r="F82" s="21" t="str">
        <f t="shared" si="9"/>
        <v xml:space="preserve">  c_spi_phr_mod_vari_ph2_ = 123;</v>
      </c>
    </row>
    <row r="83" spans="1:7" x14ac:dyDescent="0.2">
      <c r="A83" s="3">
        <v>124</v>
      </c>
      <c r="C83" s="22" t="s">
        <v>70</v>
      </c>
      <c r="D83" s="5">
        <v>8</v>
      </c>
      <c r="E83" s="17" t="str">
        <f t="shared" si="14"/>
        <v>#define SPI_PHR_MOD_VARI_PH3_ 124</v>
      </c>
      <c r="F83" s="21" t="str">
        <f t="shared" si="9"/>
        <v xml:space="preserve">  c_spi_phr_mod_vari_ph3_ = 124;</v>
      </c>
    </row>
    <row r="84" spans="1:7" x14ac:dyDescent="0.2">
      <c r="A84" s="3">
        <v>125</v>
      </c>
      <c r="C84" s="22" t="s">
        <v>71</v>
      </c>
      <c r="D84" s="5">
        <v>8</v>
      </c>
      <c r="E84" s="17" t="str">
        <f t="shared" si="14"/>
        <v>#define SPI_PHR_MOD_SLOW_PH1_ 125</v>
      </c>
      <c r="F84" s="21" t="str">
        <f t="shared" si="9"/>
        <v xml:space="preserve">  c_spi_phr_mod_slow_ph1_ = 125;</v>
      </c>
    </row>
    <row r="85" spans="1:7" x14ac:dyDescent="0.2">
      <c r="A85" s="3">
        <v>126</v>
      </c>
      <c r="C85" s="22" t="s">
        <v>72</v>
      </c>
      <c r="D85" s="5">
        <v>8</v>
      </c>
      <c r="E85" s="17" t="str">
        <f t="shared" si="14"/>
        <v>#define SPI_PHR_MOD_SLOW_PH2_ 126</v>
      </c>
      <c r="F85" s="21" t="str">
        <f t="shared" si="9"/>
        <v xml:space="preserve">  c_spi_phr_mod_slow_ph2_ = 126;</v>
      </c>
    </row>
    <row r="86" spans="1:7" x14ac:dyDescent="0.2">
      <c r="A86" s="3">
        <v>127</v>
      </c>
      <c r="C86" s="22" t="s">
        <v>73</v>
      </c>
      <c r="D86" s="5">
        <v>8</v>
      </c>
      <c r="E86" s="17" t="str">
        <f t="shared" si="14"/>
        <v>#define SPI_PHR_MOD_SLOW_PH3_ 127</v>
      </c>
      <c r="F86" s="21" t="str">
        <f t="shared" si="9"/>
        <v xml:space="preserve">  c_spi_phr_mod_slow_ph3_ = 127;</v>
      </c>
    </row>
    <row r="87" spans="1:7" x14ac:dyDescent="0.2">
      <c r="A87" s="3">
        <v>128</v>
      </c>
      <c r="C87" s="14" t="s">
        <v>10</v>
      </c>
      <c r="D87" s="5">
        <v>32</v>
      </c>
      <c r="E87" s="17" t="str">
        <f t="shared" si="14"/>
        <v>#define SPI_INC_LOADCORE 128</v>
      </c>
      <c r="F87" s="21" t="str">
        <f t="shared" si="9"/>
        <v xml:space="preserve">  c_spi_inc_loadcore = 128;</v>
      </c>
      <c r="G87" s="5" t="s">
        <v>204</v>
      </c>
    </row>
    <row r="88" spans="1:7" x14ac:dyDescent="0.2">
      <c r="A88" s="3">
        <v>129</v>
      </c>
      <c r="C88" s="14" t="s">
        <v>9</v>
      </c>
      <c r="D88" s="5">
        <v>32</v>
      </c>
      <c r="E88" s="17" t="str">
        <f t="shared" si="14"/>
        <v>#define SPI_RST_LOADCORE 129</v>
      </c>
      <c r="F88" s="21" t="str">
        <f t="shared" ref="F88:F151" si="15">CONCATENATE("  c_spi_",LOWER(SUBSTITUTE(C88," ","_"))," = ",A88,";")</f>
        <v xml:space="preserve">  c_spi_rst_loadcore = 129;</v>
      </c>
      <c r="G88" s="5" t="s">
        <v>234</v>
      </c>
    </row>
    <row r="89" spans="1:7" x14ac:dyDescent="0.2">
      <c r="A89" s="3">
        <v>130</v>
      </c>
      <c r="F89" s="21"/>
    </row>
    <row r="90" spans="1:7" x14ac:dyDescent="0.2">
      <c r="F90" s="21"/>
    </row>
    <row r="91" spans="1:7" x14ac:dyDescent="0.2">
      <c r="F91" s="21"/>
    </row>
    <row r="92" spans="1:7" x14ac:dyDescent="0.2">
      <c r="A92" s="3">
        <v>143</v>
      </c>
      <c r="F92" s="21"/>
    </row>
    <row r="93" spans="1:7" x14ac:dyDescent="0.2">
      <c r="A93" s="3">
        <v>144</v>
      </c>
      <c r="C93" s="23" t="s">
        <v>245</v>
      </c>
      <c r="D93" s="5">
        <v>8</v>
      </c>
      <c r="E93" s="17" t="str">
        <f t="shared" ref="E93:E104" si="16">CONCATENATE("#define SPI_",UPPER(SUBSTITUTE(C93," ","_"))," ",A93)</f>
        <v>#define SPI_VIB_PREEMPH 144</v>
      </c>
      <c r="F93" s="21" t="str">
        <f t="shared" si="15"/>
        <v xml:space="preserve">  c_spi_vib_preemph = 144;</v>
      </c>
      <c r="G93" s="5" t="s">
        <v>149</v>
      </c>
    </row>
    <row r="94" spans="1:7" x14ac:dyDescent="0.2">
      <c r="A94" s="3">
        <v>145</v>
      </c>
      <c r="C94" s="23" t="s">
        <v>244</v>
      </c>
      <c r="D94" s="5">
        <v>8</v>
      </c>
      <c r="E94" s="17" t="str">
        <f t="shared" si="16"/>
        <v>#define SPI_VIB_LC_LINE_AGE 145</v>
      </c>
      <c r="F94" s="21" t="str">
        <f t="shared" si="15"/>
        <v xml:space="preserve">  c_spi_vib_lc_line_age = 145;</v>
      </c>
      <c r="G94" s="5" t="s">
        <v>149</v>
      </c>
    </row>
    <row r="95" spans="1:7" x14ac:dyDescent="0.2">
      <c r="A95" s="3">
        <v>146</v>
      </c>
      <c r="C95" s="23" t="s">
        <v>243</v>
      </c>
      <c r="D95" s="5">
        <v>8</v>
      </c>
      <c r="E95" s="17" t="str">
        <f t="shared" si="16"/>
        <v>#define SPI_VIB_LC_LINE_FB 146</v>
      </c>
      <c r="F95" s="21" t="str">
        <f t="shared" si="15"/>
        <v xml:space="preserve">  c_spi_vib_lc_line_fb = 146;</v>
      </c>
      <c r="G95" s="5" t="s">
        <v>149</v>
      </c>
    </row>
    <row r="96" spans="1:7" x14ac:dyDescent="0.2">
      <c r="A96" s="3">
        <v>147</v>
      </c>
      <c r="C96" s="23" t="s">
        <v>242</v>
      </c>
      <c r="D96" s="5">
        <v>8</v>
      </c>
      <c r="E96" s="17" t="str">
        <f t="shared" si="16"/>
        <v>#define SPI_VIB_LC_LINE_REFLE 147</v>
      </c>
      <c r="F96" s="21" t="str">
        <f t="shared" si="15"/>
        <v xml:space="preserve">  c_spi_vib_lc_line_refle = 147;</v>
      </c>
      <c r="G96" s="5" t="s">
        <v>149</v>
      </c>
    </row>
    <row r="97" spans="1:7" x14ac:dyDescent="0.2">
      <c r="A97" s="3">
        <v>148</v>
      </c>
      <c r="C97" s="23" t="s">
        <v>241</v>
      </c>
      <c r="D97" s="5">
        <v>8</v>
      </c>
      <c r="E97" s="17" t="str">
        <f t="shared" si="16"/>
        <v>#define SPI_VIB_LC_LINE_CUTOFF 148</v>
      </c>
      <c r="F97" s="21" t="str">
        <f t="shared" si="15"/>
        <v xml:space="preserve">  c_spi_vib_lc_line_cutoff = 148;</v>
      </c>
      <c r="G97" s="5" t="s">
        <v>149</v>
      </c>
    </row>
    <row r="98" spans="1:7" x14ac:dyDescent="0.2">
      <c r="A98" s="3">
        <v>149</v>
      </c>
      <c r="C98" s="23" t="s">
        <v>240</v>
      </c>
      <c r="D98" s="5">
        <v>8</v>
      </c>
      <c r="E98" s="17" t="str">
        <f t="shared" si="16"/>
        <v>#define SPI_VIB_PHASELK_SHELV 149</v>
      </c>
      <c r="F98" s="21" t="str">
        <f t="shared" si="15"/>
        <v xml:space="preserve">  c_spi_vib_phaselk_shelv = 149;</v>
      </c>
      <c r="G98" s="5" t="s">
        <v>149</v>
      </c>
    </row>
    <row r="99" spans="1:7" x14ac:dyDescent="0.2">
      <c r="A99" s="3">
        <v>150</v>
      </c>
      <c r="C99" s="9" t="s">
        <v>74</v>
      </c>
      <c r="D99" s="5">
        <v>8</v>
      </c>
      <c r="E99" s="17" t="str">
        <f t="shared" si="16"/>
        <v>#define SPI_VIB_GEARING 150</v>
      </c>
      <c r="F99" s="21" t="str">
        <f t="shared" si="15"/>
        <v xml:space="preserve">  c_spi_vib_gearing = 150;</v>
      </c>
      <c r="G99" s="5" t="s">
        <v>157</v>
      </c>
    </row>
    <row r="100" spans="1:7" x14ac:dyDescent="0.2">
      <c r="A100" s="3">
        <v>151</v>
      </c>
      <c r="C100" s="9" t="s">
        <v>235</v>
      </c>
      <c r="D100" s="5">
        <v>8</v>
      </c>
      <c r="E100" s="17" t="str">
        <f t="shared" si="16"/>
        <v>#define SPI_VIB_DRY_LVL 151</v>
      </c>
      <c r="F100" s="21" t="str">
        <f t="shared" si="15"/>
        <v xml:space="preserve">  c_spi_vib_dry_lvl = 151;</v>
      </c>
      <c r="G100" s="5" t="s">
        <v>149</v>
      </c>
    </row>
    <row r="101" spans="1:7" x14ac:dyDescent="0.2">
      <c r="A101" s="3">
        <v>152</v>
      </c>
      <c r="C101" s="9" t="s">
        <v>236</v>
      </c>
      <c r="D101" s="5">
        <v>8</v>
      </c>
      <c r="E101" s="17" t="str">
        <f t="shared" si="16"/>
        <v>#define SPI_VIB_WET_LVL 152</v>
      </c>
      <c r="F101" s="21" t="str">
        <f t="shared" si="15"/>
        <v xml:space="preserve">  c_spi_vib_wet_lvl = 152;</v>
      </c>
      <c r="G101" s="5" t="s">
        <v>149</v>
      </c>
    </row>
    <row r="102" spans="1:7" x14ac:dyDescent="0.2">
      <c r="A102" s="3">
        <v>153</v>
      </c>
      <c r="C102" s="9" t="s">
        <v>237</v>
      </c>
      <c r="D102" s="5">
        <v>8</v>
      </c>
      <c r="E102" s="17" t="str">
        <f t="shared" si="16"/>
        <v>#define SPI_VIB_FLUTTER 153</v>
      </c>
      <c r="F102" s="21" t="str">
        <f t="shared" si="15"/>
        <v xml:space="preserve">  c_spi_vib_flutter = 153;</v>
      </c>
      <c r="G102" s="5" t="s">
        <v>149</v>
      </c>
    </row>
    <row r="103" spans="1:7" x14ac:dyDescent="0.2">
      <c r="A103" s="3">
        <v>154</v>
      </c>
      <c r="C103" s="9" t="s">
        <v>238</v>
      </c>
      <c r="D103" s="5">
        <v>8</v>
      </c>
      <c r="E103" s="17" t="str">
        <f t="shared" si="16"/>
        <v>#define SPI_VIB_PREMPH_FREQU 154</v>
      </c>
      <c r="F103" s="21" t="str">
        <f t="shared" si="15"/>
        <v xml:space="preserve">  c_spi_vib_premph_frequ = 154;</v>
      </c>
      <c r="G103" s="5" t="s">
        <v>149</v>
      </c>
    </row>
    <row r="104" spans="1:7" x14ac:dyDescent="0.2">
      <c r="A104" s="3">
        <v>155</v>
      </c>
      <c r="C104" s="9" t="s">
        <v>239</v>
      </c>
      <c r="D104" s="5">
        <v>8</v>
      </c>
      <c r="E104" s="17" t="str">
        <f t="shared" si="16"/>
        <v>#define SPI_VIB_MODWAVE_PHASE 155</v>
      </c>
      <c r="F104" s="21" t="str">
        <f t="shared" si="15"/>
        <v xml:space="preserve">  c_spi_vib_modwave_phase = 155;</v>
      </c>
      <c r="G104" s="5" t="s">
        <v>75</v>
      </c>
    </row>
    <row r="105" spans="1:7" x14ac:dyDescent="0.2">
      <c r="A105" s="3">
        <v>156</v>
      </c>
      <c r="F105" s="21"/>
    </row>
    <row r="106" spans="1:7" x14ac:dyDescent="0.2">
      <c r="A106" s="3">
        <v>157</v>
      </c>
      <c r="F106" s="21"/>
    </row>
    <row r="107" spans="1:7" x14ac:dyDescent="0.2">
      <c r="A107" s="3">
        <v>158</v>
      </c>
      <c r="F107" s="21"/>
    </row>
    <row r="108" spans="1:7" x14ac:dyDescent="0.2">
      <c r="A108" s="3">
        <v>159</v>
      </c>
      <c r="F108" s="21"/>
    </row>
    <row r="109" spans="1:7" x14ac:dyDescent="0.2">
      <c r="A109" s="3">
        <v>160</v>
      </c>
      <c r="C109" s="9" t="s">
        <v>76</v>
      </c>
      <c r="D109" s="5">
        <v>8</v>
      </c>
      <c r="E109" s="17" t="str">
        <f t="shared" ref="E109:E153" si="17">CONCATENATE("#define SPI_",UPPER(SUBSTITUTE(C109," ","_"))," ",A109)</f>
        <v>#define SPI_LC_LINE_DLY_0 160</v>
      </c>
      <c r="F109" s="21" t="str">
        <f t="shared" si="15"/>
        <v xml:space="preserve">  c_spi_lc_line_dly_0 = 160;</v>
      </c>
      <c r="G109" s="5" t="s">
        <v>156</v>
      </c>
    </row>
    <row r="110" spans="1:7" x14ac:dyDescent="0.2">
      <c r="A110" s="3">
        <v>161</v>
      </c>
      <c r="C110" s="9" t="s">
        <v>77</v>
      </c>
      <c r="D110" s="5">
        <v>8</v>
      </c>
      <c r="E110" s="17" t="str">
        <f t="shared" si="17"/>
        <v>#define SPI_LC_LINE_DLY_1 161</v>
      </c>
      <c r="F110" s="21" t="str">
        <f t="shared" si="15"/>
        <v xml:space="preserve">  c_spi_lc_line_dly_1 = 161;</v>
      </c>
    </row>
    <row r="111" spans="1:7" x14ac:dyDescent="0.2">
      <c r="A111" s="3">
        <v>162</v>
      </c>
      <c r="C111" s="9" t="s">
        <v>78</v>
      </c>
      <c r="D111" s="5">
        <v>8</v>
      </c>
      <c r="E111" s="17" t="str">
        <f t="shared" si="17"/>
        <v>#define SPI_LC_LINE_DLY_2 162</v>
      </c>
      <c r="F111" s="21" t="str">
        <f t="shared" si="15"/>
        <v xml:space="preserve">  c_spi_lc_line_dly_2 = 162;</v>
      </c>
    </row>
    <row r="112" spans="1:7" x14ac:dyDescent="0.2">
      <c r="A112" s="3">
        <v>163</v>
      </c>
      <c r="C112" s="9" t="s">
        <v>79</v>
      </c>
      <c r="D112" s="5">
        <v>8</v>
      </c>
      <c r="E112" s="17" t="str">
        <f t="shared" si="17"/>
        <v>#define SPI_LC_LINE_DLY_3 163</v>
      </c>
      <c r="F112" s="21" t="str">
        <f t="shared" si="15"/>
        <v xml:space="preserve">  c_spi_lc_line_dly_3 = 163;</v>
      </c>
    </row>
    <row r="113" spans="1:9" x14ac:dyDescent="0.2">
      <c r="A113" s="3">
        <v>164</v>
      </c>
      <c r="C113" s="9" t="s">
        <v>80</v>
      </c>
      <c r="D113" s="5">
        <v>8</v>
      </c>
      <c r="E113" s="17" t="str">
        <f t="shared" si="17"/>
        <v>#define SPI_LC_LINE_DLY_4 164</v>
      </c>
      <c r="F113" s="21" t="str">
        <f t="shared" si="15"/>
        <v xml:space="preserve">  c_spi_lc_line_dly_4 = 164;</v>
      </c>
    </row>
    <row r="114" spans="1:9" x14ac:dyDescent="0.2">
      <c r="A114" s="3">
        <v>165</v>
      </c>
      <c r="C114" s="9" t="s">
        <v>81</v>
      </c>
      <c r="D114" s="5">
        <v>8</v>
      </c>
      <c r="E114" s="17" t="str">
        <f t="shared" si="17"/>
        <v>#define SPI_LC_LINE_DLY_5 165</v>
      </c>
      <c r="F114" s="21" t="str">
        <f t="shared" si="15"/>
        <v xml:space="preserve">  c_spi_lc_line_dly_5 = 165;</v>
      </c>
    </row>
    <row r="115" spans="1:9" x14ac:dyDescent="0.2">
      <c r="A115" s="3">
        <v>166</v>
      </c>
      <c r="C115" s="9" t="s">
        <v>82</v>
      </c>
      <c r="D115" s="5">
        <v>8</v>
      </c>
      <c r="E115" s="17" t="str">
        <f t="shared" si="17"/>
        <v>#define SPI_LC_LINE_DLY_6 166</v>
      </c>
      <c r="F115" s="21" t="str">
        <f t="shared" si="15"/>
        <v xml:space="preserve">  c_spi_lc_line_dly_6 = 166;</v>
      </c>
    </row>
    <row r="116" spans="1:9" x14ac:dyDescent="0.2">
      <c r="A116" s="3">
        <v>167</v>
      </c>
      <c r="C116" s="9" t="s">
        <v>83</v>
      </c>
      <c r="D116" s="5">
        <v>8</v>
      </c>
      <c r="E116" s="17" t="str">
        <f t="shared" si="17"/>
        <v>#define SPI_LC_LINE_DLY_7 167</v>
      </c>
      <c r="F116" s="21" t="str">
        <f t="shared" si="15"/>
        <v xml:space="preserve">  c_spi_lc_line_dly_7 = 167;</v>
      </c>
    </row>
    <row r="117" spans="1:9" x14ac:dyDescent="0.2">
      <c r="A117" s="3">
        <v>168</v>
      </c>
      <c r="C117" s="9" t="s">
        <v>84</v>
      </c>
      <c r="D117" s="5">
        <v>8</v>
      </c>
      <c r="E117" s="17" t="str">
        <f t="shared" si="17"/>
        <v>#define SPI_LC_LINE_DLY_8 168</v>
      </c>
      <c r="F117" s="21" t="str">
        <f t="shared" si="15"/>
        <v xml:space="preserve">  c_spi_lc_line_dly_8 = 168;</v>
      </c>
    </row>
    <row r="118" spans="1:9" x14ac:dyDescent="0.2">
      <c r="A118" s="3">
        <v>169</v>
      </c>
      <c r="C118" s="9" t="s">
        <v>150</v>
      </c>
      <c r="D118" s="5">
        <v>8</v>
      </c>
      <c r="E118" s="17" t="str">
        <f t="shared" si="17"/>
        <v>#define SPI_LC_LINE_DLY_9 169</v>
      </c>
      <c r="F118" s="21" t="str">
        <f t="shared" si="15"/>
        <v xml:space="preserve">  c_spi_lc_line_dly_9 = 169;</v>
      </c>
    </row>
    <row r="119" spans="1:9" x14ac:dyDescent="0.2">
      <c r="A119" s="3">
        <v>170</v>
      </c>
      <c r="C119" s="9" t="s">
        <v>151</v>
      </c>
      <c r="D119" s="5">
        <v>8</v>
      </c>
      <c r="E119" s="17" t="str">
        <f t="shared" si="17"/>
        <v>#define SPI_LC_LINE_DLY_10 170</v>
      </c>
      <c r="F119" s="21" t="str">
        <f t="shared" si="15"/>
        <v xml:space="preserve">  c_spi_lc_line_dly_10 = 170;</v>
      </c>
    </row>
    <row r="120" spans="1:9" x14ac:dyDescent="0.2">
      <c r="A120" s="3">
        <v>171</v>
      </c>
      <c r="C120" s="9" t="s">
        <v>152</v>
      </c>
      <c r="D120" s="5">
        <v>8</v>
      </c>
      <c r="E120" s="17" t="str">
        <f t="shared" si="17"/>
        <v>#define SPI_LC_LINE_DLY_11 171</v>
      </c>
      <c r="F120" s="21" t="str">
        <f t="shared" si="15"/>
        <v xml:space="preserve">  c_spi_lc_line_dly_11 = 171;</v>
      </c>
    </row>
    <row r="121" spans="1:9" x14ac:dyDescent="0.2">
      <c r="A121" s="3">
        <v>172</v>
      </c>
      <c r="C121" s="9" t="s">
        <v>153</v>
      </c>
      <c r="D121" s="5">
        <v>8</v>
      </c>
      <c r="E121" s="17" t="str">
        <f t="shared" si="17"/>
        <v>#define SPI_LC_LINE_DLY_12 172</v>
      </c>
      <c r="F121" s="21" t="str">
        <f t="shared" si="15"/>
        <v xml:space="preserve">  c_spi_lc_line_dly_12 = 172;</v>
      </c>
    </row>
    <row r="122" spans="1:9" x14ac:dyDescent="0.2">
      <c r="A122" s="3">
        <v>173</v>
      </c>
      <c r="C122" s="9" t="s">
        <v>154</v>
      </c>
      <c r="D122" s="5">
        <v>8</v>
      </c>
      <c r="E122" s="17" t="str">
        <f t="shared" si="17"/>
        <v>#define SPI_LC_LINE_DLY_13 173</v>
      </c>
      <c r="F122" s="21" t="str">
        <f t="shared" si="15"/>
        <v xml:space="preserve">  c_spi_lc_line_dly_13 = 173;</v>
      </c>
    </row>
    <row r="123" spans="1:9" x14ac:dyDescent="0.2">
      <c r="A123" s="3">
        <v>174</v>
      </c>
      <c r="C123" s="9" t="s">
        <v>155</v>
      </c>
      <c r="D123" s="5">
        <v>8</v>
      </c>
      <c r="E123" s="17" t="str">
        <f t="shared" si="17"/>
        <v>#define SPI_LC_LINE_DLY_14 174</v>
      </c>
      <c r="F123" s="21" t="str">
        <f t="shared" si="15"/>
        <v xml:space="preserve">  c_spi_lc_line_dly_14 = 174;</v>
      </c>
    </row>
    <row r="124" spans="1:9" x14ac:dyDescent="0.2">
      <c r="A124" s="3">
        <v>175</v>
      </c>
      <c r="F124" s="21"/>
    </row>
    <row r="125" spans="1:9" x14ac:dyDescent="0.2">
      <c r="A125" s="3">
        <v>176</v>
      </c>
      <c r="C125" s="12" t="s">
        <v>59</v>
      </c>
      <c r="D125" s="5">
        <v>8</v>
      </c>
      <c r="E125" s="17"/>
      <c r="F125" s="21"/>
      <c r="G125" s="5" t="s">
        <v>134</v>
      </c>
      <c r="I125" s="5" t="s">
        <v>318</v>
      </c>
    </row>
    <row r="126" spans="1:9" x14ac:dyDescent="0.2">
      <c r="A126" s="3">
        <v>177</v>
      </c>
      <c r="C126" s="12" t="s">
        <v>37</v>
      </c>
      <c r="D126" s="5">
        <v>8</v>
      </c>
      <c r="E126" s="17" t="str">
        <f t="shared" si="17"/>
        <v>#define SPI_SPEED_HORN 177</v>
      </c>
      <c r="F126" s="21" t="str">
        <f t="shared" si="15"/>
        <v xml:space="preserve">  c_spi_speed_horn = 177;</v>
      </c>
      <c r="I126" s="5" t="s">
        <v>319</v>
      </c>
    </row>
    <row r="127" spans="1:9" x14ac:dyDescent="0.2">
      <c r="A127" s="3">
        <v>178</v>
      </c>
      <c r="C127" s="12" t="s">
        <v>38</v>
      </c>
      <c r="D127" s="5">
        <v>8</v>
      </c>
      <c r="E127" s="17" t="str">
        <f t="shared" si="17"/>
        <v>#define SPI_SPEED_ROTOR 178</v>
      </c>
      <c r="F127" s="21" t="str">
        <f t="shared" si="15"/>
        <v xml:space="preserve">  c_spi_speed_rotor = 178;</v>
      </c>
      <c r="I127" s="5" t="s">
        <v>320</v>
      </c>
    </row>
    <row r="128" spans="1:9" x14ac:dyDescent="0.2">
      <c r="A128" s="3">
        <v>179</v>
      </c>
      <c r="C128" s="12" t="s">
        <v>36</v>
      </c>
      <c r="D128" s="5">
        <v>8</v>
      </c>
      <c r="E128" s="17" t="str">
        <f t="shared" si="17"/>
        <v>#define SPI_NOT_USED 179</v>
      </c>
      <c r="F128" s="21" t="str">
        <f t="shared" si="15"/>
        <v xml:space="preserve">  c_spi_not_used = 179;</v>
      </c>
      <c r="G128" s="5" t="s">
        <v>135</v>
      </c>
      <c r="I128" s="5" t="s">
        <v>321</v>
      </c>
    </row>
    <row r="129" spans="1:10" x14ac:dyDescent="0.2">
      <c r="A129" s="3">
        <v>180</v>
      </c>
      <c r="C129" s="12" t="s">
        <v>39</v>
      </c>
      <c r="D129" s="5">
        <v>8</v>
      </c>
      <c r="E129" s="17" t="str">
        <f t="shared" si="17"/>
        <v>#define SPI_ROTRY_INP_LVL 180</v>
      </c>
      <c r="F129" s="21" t="str">
        <f t="shared" si="15"/>
        <v xml:space="preserve">  c_spi_rotry_inp_lvl = 180;</v>
      </c>
      <c r="I129" s="5" t="s">
        <v>322</v>
      </c>
    </row>
    <row r="130" spans="1:10" x14ac:dyDescent="0.2">
      <c r="A130" s="3">
        <v>181</v>
      </c>
      <c r="C130" s="12" t="s">
        <v>40</v>
      </c>
      <c r="D130" s="5">
        <v>8</v>
      </c>
      <c r="E130" s="17" t="str">
        <f t="shared" si="17"/>
        <v>#define SPI_ROTRY_HORN_LVL 181</v>
      </c>
      <c r="F130" s="21" t="str">
        <f t="shared" si="15"/>
        <v xml:space="preserve">  c_spi_rotry_horn_lvl = 181;</v>
      </c>
      <c r="I130" s="5" t="s">
        <v>323</v>
      </c>
    </row>
    <row r="131" spans="1:10" x14ac:dyDescent="0.2">
      <c r="A131" s="3">
        <v>182</v>
      </c>
      <c r="C131" s="12" t="s">
        <v>41</v>
      </c>
      <c r="D131" s="5">
        <v>8</v>
      </c>
      <c r="E131" s="17" t="str">
        <f t="shared" si="17"/>
        <v>#define SPI_ROTRY_ROTOR_LVL 182</v>
      </c>
      <c r="F131" s="21" t="str">
        <f t="shared" si="15"/>
        <v xml:space="preserve">  c_spi_rotry_rotor_lvl = 182;</v>
      </c>
      <c r="I131" s="5" t="s">
        <v>324</v>
      </c>
    </row>
    <row r="132" spans="1:10" x14ac:dyDescent="0.2">
      <c r="A132" s="3">
        <v>183</v>
      </c>
      <c r="C132" s="12" t="s">
        <v>42</v>
      </c>
      <c r="D132" s="5">
        <v>8</v>
      </c>
      <c r="E132" s="17" t="str">
        <f t="shared" si="17"/>
        <v>#define SPI_ROTRY_HORN_NEAR_REFL_LVL 183</v>
      </c>
      <c r="F132" s="21" t="str">
        <f t="shared" si="15"/>
        <v xml:space="preserve">  c_spi_rotry_horn_near_refl_lvl = 183;</v>
      </c>
      <c r="I132" s="5" t="s">
        <v>325</v>
      </c>
    </row>
    <row r="133" spans="1:10" x14ac:dyDescent="0.2">
      <c r="A133" s="3">
        <v>184</v>
      </c>
      <c r="C133" s="12" t="s">
        <v>43</v>
      </c>
      <c r="D133" s="5">
        <v>8</v>
      </c>
      <c r="E133" s="17" t="str">
        <f t="shared" si="17"/>
        <v>#define SPI_ROTRY_HORN_ROOM_REFL_LVL 184</v>
      </c>
      <c r="F133" s="21" t="str">
        <f t="shared" si="15"/>
        <v xml:space="preserve">  c_spi_rotry_horn_room_refl_lvl = 184;</v>
      </c>
      <c r="I133" s="5" t="s">
        <v>326</v>
      </c>
    </row>
    <row r="134" spans="1:10" x14ac:dyDescent="0.2">
      <c r="A134" s="3">
        <v>185</v>
      </c>
      <c r="C134" s="12" t="s">
        <v>44</v>
      </c>
      <c r="D134" s="5">
        <v>8</v>
      </c>
      <c r="E134" s="17" t="str">
        <f t="shared" si="17"/>
        <v>#define SPI_ROTRY_XOVER_FREQU 185</v>
      </c>
      <c r="F134" s="21" t="str">
        <f t="shared" si="15"/>
        <v xml:space="preserve">  c_spi_rotry_xover_frequ = 185;</v>
      </c>
      <c r="I134" s="5" t="s">
        <v>327</v>
      </c>
    </row>
    <row r="135" spans="1:10" x14ac:dyDescent="0.2">
      <c r="A135" s="3">
        <v>186</v>
      </c>
      <c r="C135" s="12" t="s">
        <v>59</v>
      </c>
      <c r="D135" s="5">
        <v>8</v>
      </c>
      <c r="E135" s="17"/>
      <c r="F135" s="21"/>
      <c r="I135" s="5" t="s">
        <v>328</v>
      </c>
    </row>
    <row r="136" spans="1:10" x14ac:dyDescent="0.2">
      <c r="A136" s="3">
        <v>187</v>
      </c>
      <c r="C136" s="12" t="s">
        <v>45</v>
      </c>
      <c r="D136" s="5">
        <v>8</v>
      </c>
      <c r="E136" s="17" t="str">
        <f t="shared" si="17"/>
        <v>#define SPI_ROTRY_PRE_DLY 187</v>
      </c>
      <c r="F136" s="21" t="str">
        <f t="shared" si="15"/>
        <v xml:space="preserve">  c_spi_rotry_pre_dly = 187;</v>
      </c>
      <c r="I136" s="5" t="s">
        <v>329</v>
      </c>
    </row>
    <row r="137" spans="1:10" x14ac:dyDescent="0.2">
      <c r="A137" s="3">
        <v>188</v>
      </c>
      <c r="C137" s="12" t="s">
        <v>46</v>
      </c>
      <c r="D137" s="5">
        <v>8</v>
      </c>
      <c r="E137" s="17" t="str">
        <f t="shared" si="17"/>
        <v>#define SPI_ROTRY_DIFFUSE_1 188</v>
      </c>
      <c r="F137" s="21" t="str">
        <f t="shared" si="15"/>
        <v xml:space="preserve">  c_spi_rotry_diffuse_1 = 188;</v>
      </c>
      <c r="I137" s="5" t="s">
        <v>330</v>
      </c>
    </row>
    <row r="138" spans="1:10" x14ac:dyDescent="0.2">
      <c r="A138" s="3">
        <v>189</v>
      </c>
      <c r="C138" s="12" t="s">
        <v>47</v>
      </c>
      <c r="D138" s="5">
        <v>8</v>
      </c>
      <c r="E138" s="17" t="str">
        <f t="shared" si="17"/>
        <v>#define SPI_ROTRY_DIFFUSE_2 189</v>
      </c>
      <c r="F138" s="21" t="str">
        <f t="shared" si="15"/>
        <v xml:space="preserve">  c_spi_rotry_diffuse_2 = 189;</v>
      </c>
      <c r="I138" s="5" t="s">
        <v>331</v>
      </c>
    </row>
    <row r="139" spans="1:10" x14ac:dyDescent="0.2">
      <c r="A139" s="3">
        <v>190</v>
      </c>
      <c r="C139" s="12" t="s">
        <v>48</v>
      </c>
      <c r="D139" s="5">
        <v>8</v>
      </c>
      <c r="E139" s="17" t="str">
        <f t="shared" si="17"/>
        <v>#define SPI_ROTRY_DIFFUSE_3 190</v>
      </c>
      <c r="F139" s="21" t="str">
        <f t="shared" si="15"/>
        <v xml:space="preserve">  c_spi_rotry_diffuse_3 = 190;</v>
      </c>
      <c r="I139" s="5" t="s">
        <v>332</v>
      </c>
    </row>
    <row r="140" spans="1:10" x14ac:dyDescent="0.2">
      <c r="A140" s="3">
        <v>191</v>
      </c>
      <c r="C140" s="12" t="s">
        <v>49</v>
      </c>
      <c r="D140" s="5">
        <v>8</v>
      </c>
      <c r="E140" s="17" t="str">
        <f t="shared" si="17"/>
        <v>#define SPI_ROTRY_DIFFUSE_4 191</v>
      </c>
      <c r="F140" s="21" t="str">
        <f t="shared" si="15"/>
        <v xml:space="preserve">  c_spi_rotry_diffuse_4 = 191;</v>
      </c>
      <c r="I140" s="5" t="s">
        <v>333</v>
      </c>
    </row>
    <row r="141" spans="1:10" x14ac:dyDescent="0.2">
      <c r="A141" s="3">
        <v>192</v>
      </c>
      <c r="C141" s="13" t="s">
        <v>165</v>
      </c>
      <c r="D141" s="5">
        <v>8</v>
      </c>
      <c r="E141" s="17" t="str">
        <f t="shared" si="17"/>
        <v>#define SPI_LFO_MOD_HORN_MAIN_L 192</v>
      </c>
      <c r="F141" s="21" t="str">
        <f t="shared" si="15"/>
        <v xml:space="preserve">  c_spi_lfo_mod_horn_main_l = 192;</v>
      </c>
      <c r="G141" s="5" t="s">
        <v>50</v>
      </c>
      <c r="I141" s="5" t="s">
        <v>334</v>
      </c>
    </row>
    <row r="142" spans="1:10" x14ac:dyDescent="0.2">
      <c r="A142" s="3">
        <v>193</v>
      </c>
      <c r="C142" s="24" t="s">
        <v>166</v>
      </c>
      <c r="D142" s="5">
        <v>8</v>
      </c>
      <c r="E142" s="17" t="str">
        <f t="shared" si="17"/>
        <v>#define SPI_LFO_MOD_HORN_MAIN_R 193</v>
      </c>
      <c r="F142" s="21" t="str">
        <f t="shared" si="15"/>
        <v xml:space="preserve">  c_spi_lfo_mod_horn_main_r = 193;</v>
      </c>
      <c r="I142" s="27" t="s">
        <v>335</v>
      </c>
      <c r="J142" s="5" t="s">
        <v>347</v>
      </c>
    </row>
    <row r="143" spans="1:10" x14ac:dyDescent="0.2">
      <c r="A143" s="3">
        <v>194</v>
      </c>
      <c r="C143" s="13" t="s">
        <v>167</v>
      </c>
      <c r="D143" s="5">
        <v>8</v>
      </c>
      <c r="E143" s="17" t="str">
        <f t="shared" si="17"/>
        <v>#define SPI_LFO_MOD_HORN_REFL_1_L_NEAR 194</v>
      </c>
      <c r="F143" s="21" t="str">
        <f t="shared" si="15"/>
        <v xml:space="preserve">  c_spi_lfo_mod_horn_refl_1_l_near = 194;</v>
      </c>
      <c r="I143" s="5" t="s">
        <v>336</v>
      </c>
    </row>
    <row r="144" spans="1:10" x14ac:dyDescent="0.2">
      <c r="A144" s="3">
        <v>195</v>
      </c>
      <c r="C144" s="24" t="s">
        <v>168</v>
      </c>
      <c r="D144" s="5">
        <v>8</v>
      </c>
      <c r="E144" s="17" t="str">
        <f t="shared" si="17"/>
        <v>#define SPI_LFO_MOD_HORN_REFL_1_R_NEAR 195</v>
      </c>
      <c r="F144" s="21" t="str">
        <f t="shared" si="15"/>
        <v xml:space="preserve">  c_spi_lfo_mod_horn_refl_1_r_near = 195;</v>
      </c>
      <c r="I144" s="27" t="s">
        <v>337</v>
      </c>
      <c r="J144" s="5" t="s">
        <v>347</v>
      </c>
    </row>
    <row r="145" spans="1:10" x14ac:dyDescent="0.2">
      <c r="A145" s="3">
        <v>196</v>
      </c>
      <c r="C145" s="24" t="s">
        <v>190</v>
      </c>
      <c r="D145" s="5">
        <v>8</v>
      </c>
      <c r="E145" s="17" t="str">
        <f t="shared" si="17"/>
        <v>#define SPI_LFO_MOD_HORN_REFL_2_L_FAR 196</v>
      </c>
      <c r="F145" s="21" t="str">
        <f t="shared" si="15"/>
        <v xml:space="preserve">  c_spi_lfo_mod_horn_refl_2_l_far = 196;</v>
      </c>
      <c r="I145" s="5" t="s">
        <v>338</v>
      </c>
    </row>
    <row r="146" spans="1:10" x14ac:dyDescent="0.2">
      <c r="A146" s="3">
        <v>197</v>
      </c>
      <c r="C146" s="13" t="s">
        <v>169</v>
      </c>
      <c r="D146" s="5">
        <v>8</v>
      </c>
      <c r="E146" s="17" t="str">
        <f t="shared" si="17"/>
        <v>#define SPI_LFO_MOD_HORN_REFL_2_R_FAR 197</v>
      </c>
      <c r="F146" s="21" t="str">
        <f t="shared" si="15"/>
        <v xml:space="preserve">  c_spi_lfo_mod_horn_refl_2_r_far = 197;</v>
      </c>
      <c r="I146" s="27" t="s">
        <v>339</v>
      </c>
      <c r="J146" s="5" t="s">
        <v>347</v>
      </c>
    </row>
    <row r="147" spans="1:10" x14ac:dyDescent="0.2">
      <c r="A147" s="3">
        <v>198</v>
      </c>
      <c r="C147" s="24" t="s">
        <v>170</v>
      </c>
      <c r="D147" s="5">
        <v>8</v>
      </c>
      <c r="E147" s="17" t="str">
        <f t="shared" si="17"/>
        <v>#define SPI_LFO_MOD_HORN_THROB_L 198</v>
      </c>
      <c r="F147" s="21" t="str">
        <f t="shared" si="15"/>
        <v xml:space="preserve">  c_spi_lfo_mod_horn_throb_l = 198;</v>
      </c>
      <c r="I147" s="5" t="s">
        <v>340</v>
      </c>
    </row>
    <row r="148" spans="1:10" x14ac:dyDescent="0.2">
      <c r="A148" s="3">
        <v>199</v>
      </c>
      <c r="C148" s="13" t="s">
        <v>171</v>
      </c>
      <c r="D148" s="5">
        <v>8</v>
      </c>
      <c r="E148" s="17" t="str">
        <f t="shared" si="17"/>
        <v>#define SPI_LFO_MOD_HORN_THROB_R 199</v>
      </c>
      <c r="F148" s="21" t="str">
        <f t="shared" si="15"/>
        <v xml:space="preserve">  c_spi_lfo_mod_horn_throb_r = 199;</v>
      </c>
      <c r="I148" s="27" t="s">
        <v>341</v>
      </c>
      <c r="J148" s="5" t="s">
        <v>347</v>
      </c>
    </row>
    <row r="149" spans="1:10" x14ac:dyDescent="0.2">
      <c r="A149" s="3">
        <v>200</v>
      </c>
      <c r="C149" s="24" t="s">
        <v>172</v>
      </c>
      <c r="D149" s="5">
        <v>8</v>
      </c>
      <c r="E149" s="17" t="str">
        <f t="shared" si="17"/>
        <v>#define SPI_LFO_MOD_HORN_CAB 200</v>
      </c>
      <c r="F149" s="21" t="str">
        <f t="shared" si="15"/>
        <v xml:space="preserve">  c_spi_lfo_mod_horn_cab = 200;</v>
      </c>
      <c r="I149" s="5" t="s">
        <v>342</v>
      </c>
    </row>
    <row r="150" spans="1:10" x14ac:dyDescent="0.2">
      <c r="A150" s="3">
        <v>201</v>
      </c>
      <c r="C150" s="13" t="s">
        <v>51</v>
      </c>
      <c r="D150" s="5">
        <v>8</v>
      </c>
      <c r="E150" s="17" t="str">
        <f t="shared" si="17"/>
        <v>#define SPI_LFO_MOD_ROTOR_MAIN 201</v>
      </c>
      <c r="F150" s="21" t="str">
        <f t="shared" si="15"/>
        <v xml:space="preserve">  c_spi_lfo_mod_rotor_main = 201;</v>
      </c>
      <c r="I150" s="5" t="s">
        <v>343</v>
      </c>
    </row>
    <row r="151" spans="1:10" x14ac:dyDescent="0.2">
      <c r="A151" s="3">
        <v>202</v>
      </c>
      <c r="C151" s="13" t="s">
        <v>52</v>
      </c>
      <c r="D151" s="5">
        <v>8</v>
      </c>
      <c r="E151" s="17" t="str">
        <f t="shared" si="17"/>
        <v>#define SPI_LFO_MOD_ROTOR_REFL 202</v>
      </c>
      <c r="F151" s="21" t="str">
        <f t="shared" si="15"/>
        <v xml:space="preserve">  c_spi_lfo_mod_rotor_refl = 202;</v>
      </c>
      <c r="I151" s="5" t="s">
        <v>344</v>
      </c>
    </row>
    <row r="152" spans="1:10" x14ac:dyDescent="0.2">
      <c r="A152" s="3">
        <v>203</v>
      </c>
      <c r="C152" s="24" t="s">
        <v>53</v>
      </c>
      <c r="D152" s="5">
        <v>8</v>
      </c>
      <c r="E152" s="17" t="str">
        <f t="shared" si="17"/>
        <v>#define SPI_LFO_MOD_ROTOR_THROB 203</v>
      </c>
      <c r="F152" s="21" t="str">
        <f t="shared" ref="F152:F170" si="18">CONCATENATE("  c_spi_",LOWER(SUBSTITUTE(C152," ","_"))," = ",A152,";")</f>
        <v xml:space="preserve">  c_spi_lfo_mod_rotor_throb = 203;</v>
      </c>
      <c r="G152" s="10"/>
      <c r="I152" s="5" t="s">
        <v>345</v>
      </c>
    </row>
    <row r="153" spans="1:10" x14ac:dyDescent="0.2">
      <c r="A153" s="3">
        <v>204</v>
      </c>
      <c r="C153" s="25" t="s">
        <v>58</v>
      </c>
      <c r="D153" s="5">
        <v>8</v>
      </c>
      <c r="E153" s="17" t="str">
        <f t="shared" si="17"/>
        <v>#define SPI_HORN_FIR_FILTER_ENABLE 204</v>
      </c>
      <c r="F153" s="21" t="str">
        <f t="shared" si="18"/>
        <v xml:space="preserve">  c_spi_horn_fir_filter_enable = 204;</v>
      </c>
      <c r="G153" s="5" t="s">
        <v>60</v>
      </c>
      <c r="I153" s="5" t="s">
        <v>346</v>
      </c>
    </row>
    <row r="154" spans="1:10" x14ac:dyDescent="0.2">
      <c r="A154" s="3">
        <v>205</v>
      </c>
      <c r="F154" s="21"/>
    </row>
    <row r="155" spans="1:10" x14ac:dyDescent="0.2">
      <c r="F155" s="21"/>
    </row>
    <row r="156" spans="1:10" x14ac:dyDescent="0.2">
      <c r="F156" s="21"/>
    </row>
    <row r="157" spans="1:10" x14ac:dyDescent="0.2">
      <c r="A157" s="3">
        <v>222</v>
      </c>
      <c r="F157" s="21"/>
    </row>
    <row r="158" spans="1:10" x14ac:dyDescent="0.2">
      <c r="A158" s="3">
        <v>223</v>
      </c>
      <c r="F158" s="21"/>
    </row>
    <row r="159" spans="1:10" x14ac:dyDescent="0.2">
      <c r="A159" s="3">
        <v>224</v>
      </c>
      <c r="C159" s="24" t="s">
        <v>196</v>
      </c>
      <c r="D159" s="5">
        <v>8</v>
      </c>
      <c r="E159" s="17" t="str">
        <f t="shared" ref="E159:E170" si="19">CONCATENATE("#define SPI_",UPPER(SUBSTITUTE(C159," ","_"))," ",A159)</f>
        <v>#define SPI_LFO_PHASE_OFFSET_HORN_MAIN_L 224</v>
      </c>
      <c r="F159" s="21" t="str">
        <f t="shared" si="18"/>
        <v xml:space="preserve">  c_spi_lfo_phase_offset_horn_main_l = 224;</v>
      </c>
      <c r="G159" s="5" t="s">
        <v>158</v>
      </c>
      <c r="I159" s="5" t="s">
        <v>306</v>
      </c>
    </row>
    <row r="160" spans="1:10" x14ac:dyDescent="0.2">
      <c r="A160" s="3">
        <v>225</v>
      </c>
      <c r="C160" s="24" t="s">
        <v>200</v>
      </c>
      <c r="D160" s="5">
        <v>8</v>
      </c>
      <c r="E160" s="17" t="str">
        <f t="shared" si="19"/>
        <v>#define SPI_LFO_PHASE_OFFSET_HORN_MAIN_R 225</v>
      </c>
      <c r="F160" s="21" t="str">
        <f t="shared" si="18"/>
        <v xml:space="preserve">  c_spi_lfo_phase_offset_horn_main_r = 225;</v>
      </c>
      <c r="I160" s="27" t="s">
        <v>307</v>
      </c>
      <c r="J160" s="5" t="s">
        <v>347</v>
      </c>
    </row>
    <row r="161" spans="1:10" x14ac:dyDescent="0.2">
      <c r="A161" s="3">
        <v>226</v>
      </c>
      <c r="C161" s="24" t="s">
        <v>197</v>
      </c>
      <c r="D161" s="5">
        <v>8</v>
      </c>
      <c r="E161" s="17" t="str">
        <f t="shared" si="19"/>
        <v>#define SPI_LFO_PHASE_OFFSET_HORN_REFL_1_L_NEAR_CAB 226</v>
      </c>
      <c r="F161" s="21" t="str">
        <f t="shared" si="18"/>
        <v xml:space="preserve">  c_spi_lfo_phase_offset_horn_refl_1_l_near_cab = 226;</v>
      </c>
      <c r="I161" s="5" t="s">
        <v>308</v>
      </c>
    </row>
    <row r="162" spans="1:10" x14ac:dyDescent="0.2">
      <c r="A162" s="3">
        <v>227</v>
      </c>
      <c r="C162" s="24" t="s">
        <v>201</v>
      </c>
      <c r="D162" s="5">
        <v>8</v>
      </c>
      <c r="E162" s="17" t="str">
        <f t="shared" si="19"/>
        <v>#define SPI_LFO_PHASE_OFFSET_HORN_REFL_1_R_NEAR_CAB 227</v>
      </c>
      <c r="F162" s="21" t="str">
        <f t="shared" si="18"/>
        <v xml:space="preserve">  c_spi_lfo_phase_offset_horn_refl_1_r_near_cab = 227;</v>
      </c>
      <c r="I162" s="27" t="s">
        <v>309</v>
      </c>
      <c r="J162" s="5" t="s">
        <v>347</v>
      </c>
    </row>
    <row r="163" spans="1:10" x14ac:dyDescent="0.2">
      <c r="A163" s="3">
        <v>228</v>
      </c>
      <c r="C163" s="24" t="s">
        <v>198</v>
      </c>
      <c r="D163" s="5">
        <v>8</v>
      </c>
      <c r="E163" s="17" t="str">
        <f t="shared" si="19"/>
        <v>#define SPI_LFO_PHASE_OFFSET_HORN_REFL_2_L__FAR 228</v>
      </c>
      <c r="F163" s="21" t="str">
        <f t="shared" si="18"/>
        <v xml:space="preserve">  c_spi_lfo_phase_offset_horn_refl_2_l__far = 228;</v>
      </c>
      <c r="I163" s="5" t="s">
        <v>310</v>
      </c>
    </row>
    <row r="164" spans="1:10" x14ac:dyDescent="0.2">
      <c r="A164" s="3">
        <v>229</v>
      </c>
      <c r="C164" s="24" t="s">
        <v>202</v>
      </c>
      <c r="D164" s="5">
        <v>8</v>
      </c>
      <c r="E164" s="17" t="str">
        <f t="shared" si="19"/>
        <v>#define SPI_LFO_PHASE_OFFSET_HORN_REFL_2_R_FAR 229</v>
      </c>
      <c r="F164" s="21" t="str">
        <f t="shared" si="18"/>
        <v xml:space="preserve">  c_spi_lfo_phase_offset_horn_refl_2_r_far = 229;</v>
      </c>
      <c r="I164" s="27" t="s">
        <v>311</v>
      </c>
      <c r="J164" s="5" t="s">
        <v>347</v>
      </c>
    </row>
    <row r="165" spans="1:10" x14ac:dyDescent="0.2">
      <c r="A165" s="3">
        <v>230</v>
      </c>
      <c r="C165" s="13" t="s">
        <v>199</v>
      </c>
      <c r="D165" s="5">
        <v>8</v>
      </c>
      <c r="E165" s="17" t="str">
        <f t="shared" si="19"/>
        <v>#define SPI_LFO_PHASE_OFFSET_HORN_THROB_L__2_KHZ 230</v>
      </c>
      <c r="F165" s="21" t="str">
        <f t="shared" si="18"/>
        <v xml:space="preserve">  c_spi_lfo_phase_offset_horn_throb_l__2_khz = 230;</v>
      </c>
      <c r="I165" s="5" t="s">
        <v>312</v>
      </c>
    </row>
    <row r="166" spans="1:10" x14ac:dyDescent="0.2">
      <c r="A166" s="3">
        <v>231</v>
      </c>
      <c r="C166" s="24" t="s">
        <v>203</v>
      </c>
      <c r="D166" s="5">
        <v>8</v>
      </c>
      <c r="E166" s="17" t="str">
        <f t="shared" si="19"/>
        <v>#define SPI_LFO_PHASE_OFFSET_HORN_THROB_R_2_KHZ 231</v>
      </c>
      <c r="F166" s="21" t="str">
        <f t="shared" si="18"/>
        <v xml:space="preserve">  c_spi_lfo_phase_offset_horn_throb_r_2_khz = 231;</v>
      </c>
      <c r="I166" s="27" t="s">
        <v>313</v>
      </c>
      <c r="J166" s="5" t="s">
        <v>347</v>
      </c>
    </row>
    <row r="167" spans="1:10" x14ac:dyDescent="0.2">
      <c r="A167" s="3">
        <v>232</v>
      </c>
      <c r="C167" s="24" t="s">
        <v>54</v>
      </c>
      <c r="D167" s="5">
        <v>8</v>
      </c>
      <c r="E167" s="17" t="str">
        <f t="shared" si="19"/>
        <v>#define SPI_LFO_PHASE_OFFSET_HORN_CAB_4X 232</v>
      </c>
      <c r="F167" s="21" t="str">
        <f t="shared" si="18"/>
        <v xml:space="preserve">  c_spi_lfo_phase_offset_horn_cab_4x = 232;</v>
      </c>
      <c r="I167" s="5" t="s">
        <v>314</v>
      </c>
    </row>
    <row r="168" spans="1:10" x14ac:dyDescent="0.2">
      <c r="A168" s="3">
        <v>233</v>
      </c>
      <c r="C168" s="24" t="s">
        <v>55</v>
      </c>
      <c r="D168" s="5">
        <v>8</v>
      </c>
      <c r="E168" s="17" t="str">
        <f t="shared" si="19"/>
        <v>#define SPI_LFO_PHASE_OFFSET_ROTOR_MAIN 233</v>
      </c>
      <c r="F168" s="21" t="str">
        <f t="shared" si="18"/>
        <v xml:space="preserve">  c_spi_lfo_phase_offset_rotor_main = 233;</v>
      </c>
      <c r="I168" s="5" t="s">
        <v>315</v>
      </c>
    </row>
    <row r="169" spans="1:10" x14ac:dyDescent="0.2">
      <c r="A169" s="3">
        <v>234</v>
      </c>
      <c r="C169" s="13" t="s">
        <v>56</v>
      </c>
      <c r="D169" s="5">
        <v>8</v>
      </c>
      <c r="E169" s="17" t="str">
        <f t="shared" si="19"/>
        <v>#define SPI_LFO_PHASE_OFFSET_ROTOR_REFL 234</v>
      </c>
      <c r="F169" s="21" t="str">
        <f t="shared" si="18"/>
        <v xml:space="preserve">  c_spi_lfo_phase_offset_rotor_refl = 234;</v>
      </c>
      <c r="I169" s="5" t="s">
        <v>316</v>
      </c>
    </row>
    <row r="170" spans="1:10" x14ac:dyDescent="0.2">
      <c r="A170" s="3">
        <v>235</v>
      </c>
      <c r="C170" s="24" t="s">
        <v>57</v>
      </c>
      <c r="D170" s="5">
        <v>8</v>
      </c>
      <c r="E170" s="17" t="str">
        <f t="shared" si="19"/>
        <v>#define SPI_LFO_PHASE_OFFSET_ROTOR_THROB 235</v>
      </c>
      <c r="F170" s="21" t="str">
        <f t="shared" si="18"/>
        <v xml:space="preserve">  c_spi_lfo_phase_offset_rotor_throb = 235;</v>
      </c>
      <c r="I170" s="5" t="s">
        <v>317</v>
      </c>
    </row>
    <row r="171" spans="1:10" x14ac:dyDescent="0.2">
      <c r="A171" s="3">
        <v>236</v>
      </c>
    </row>
    <row r="172" spans="1:10" x14ac:dyDescent="0.2">
      <c r="A172" s="3">
        <v>237</v>
      </c>
    </row>
    <row r="173" spans="1:10" x14ac:dyDescent="0.2">
      <c r="A173" s="3">
        <v>238</v>
      </c>
    </row>
    <row r="174" spans="1:10" x14ac:dyDescent="0.2">
      <c r="A174" s="3">
        <v>239</v>
      </c>
    </row>
    <row r="175" spans="1:10" x14ac:dyDescent="0.2">
      <c r="A175" s="3">
        <v>240</v>
      </c>
      <c r="B175" s="15" t="s">
        <v>12</v>
      </c>
      <c r="C175" s="15" t="s">
        <v>12</v>
      </c>
      <c r="D175" s="5">
        <v>32</v>
      </c>
      <c r="E175" s="17" t="str">
        <f t="shared" ref="E175:E176" si="20">CONCATENATE("#define SPI_",UPPER(SUBSTITUTE(C175," ","_"))," ",A175)</f>
        <v>#define SPI_DNA_COMPARE_0 240</v>
      </c>
      <c r="F175" s="17" t="str">
        <f>CONCATENATE("  c_spi_",LOWER(SUBSTITUTE(B175," ","_"))," = ",A175,";")</f>
        <v xml:space="preserve">  c_spi_dna_compare_0 = 240;</v>
      </c>
      <c r="G175" s="5" t="s">
        <v>13</v>
      </c>
    </row>
    <row r="176" spans="1:10" x14ac:dyDescent="0.2">
      <c r="A176" s="3">
        <v>241</v>
      </c>
      <c r="B176" s="15" t="s">
        <v>11</v>
      </c>
      <c r="C176" s="15" t="s">
        <v>11</v>
      </c>
      <c r="D176" s="5">
        <v>32</v>
      </c>
      <c r="E176" s="17" t="str">
        <f t="shared" si="20"/>
        <v>#define SPI_DNA_COMPARE_1 241</v>
      </c>
      <c r="F176" s="17" t="str">
        <f t="shared" ref="F176:F178" si="21">CONCATENATE("  c_spi_",LOWER(SUBSTITUTE(B176," ","_"))," = ",A176,";")</f>
        <v xml:space="preserve">  c_spi_dna_compare_1 = 241;</v>
      </c>
      <c r="G176" s="5" t="s">
        <v>14</v>
      </c>
    </row>
    <row r="177" spans="1:7" x14ac:dyDescent="0.2">
      <c r="A177" s="3">
        <v>242</v>
      </c>
      <c r="B177" s="15" t="s">
        <v>23</v>
      </c>
      <c r="D177" s="5">
        <v>32</v>
      </c>
      <c r="E177" s="17" t="str">
        <f>CONCATENATE("#define SPI_RD_",UPPER(SUBSTITUTE(B177," ","_"))," ",A177)</f>
        <v>#define SPI_RD_DNA_0 242</v>
      </c>
      <c r="F177" s="17" t="str">
        <f t="shared" si="21"/>
        <v xml:space="preserve">  c_spi_dna_0 = 242;</v>
      </c>
      <c r="G177" s="5" t="s">
        <v>175</v>
      </c>
    </row>
    <row r="178" spans="1:7" x14ac:dyDescent="0.2">
      <c r="A178" s="3">
        <v>243</v>
      </c>
      <c r="B178" s="15" t="s">
        <v>24</v>
      </c>
      <c r="D178" s="5">
        <v>32</v>
      </c>
      <c r="E178" s="17" t="str">
        <f t="shared" ref="E178:E179" si="22">CONCATENATE("#define SPI_RD_",UPPER(SUBSTITUTE(B178," ","_"))," ",A178)</f>
        <v>#define SPI_RD_DNA_1 243</v>
      </c>
      <c r="F178" s="17" t="str">
        <f t="shared" si="21"/>
        <v xml:space="preserve">  c_spi_dna_1 = 243;</v>
      </c>
      <c r="G178" s="5" t="s">
        <v>176</v>
      </c>
    </row>
    <row r="179" spans="1:7" x14ac:dyDescent="0.2">
      <c r="A179" s="3">
        <v>244</v>
      </c>
      <c r="B179" s="15" t="s">
        <v>25</v>
      </c>
      <c r="D179" s="5">
        <v>32</v>
      </c>
      <c r="E179" s="17" t="str">
        <f t="shared" si="22"/>
        <v>#define SPI_RD_LIC_VALID 244</v>
      </c>
      <c r="F179" s="17" t="str">
        <f>CONCATENATE("  c_spi_",LOWER(SUBSTITUTE(B179," ","_"))," = ",A179,";")</f>
        <v xml:space="preserve">  c_spi_lic_valid = 244;</v>
      </c>
      <c r="G179" s="5" t="s">
        <v>177</v>
      </c>
    </row>
    <row r="180" spans="1:7" x14ac:dyDescent="0.2">
      <c r="A180" s="3">
        <v>245</v>
      </c>
      <c r="F180" s="17"/>
    </row>
    <row r="181" spans="1:7" x14ac:dyDescent="0.2">
      <c r="A181" s="3">
        <v>246</v>
      </c>
      <c r="C181" s="15" t="s">
        <v>173</v>
      </c>
      <c r="D181" s="5">
        <v>32</v>
      </c>
      <c r="E181" s="17" t="str">
        <f t="shared" ref="E181" si="23">CONCATENATE("#define SPI_",UPPER(SUBSTITUTE(C181," ","_"))," ",A181)</f>
        <v>#define SPI_SAM_COMMAND 246</v>
      </c>
      <c r="F181" s="21" t="str">
        <f t="shared" ref="F181" si="24">CONCATENATE("  c_spi_",LOWER(SUBSTITUTE(C181," ","_"))," = ",A181,";")</f>
        <v xml:space="preserve">  c_spi_sam_command = 246;</v>
      </c>
      <c r="G181" s="5" t="s">
        <v>130</v>
      </c>
    </row>
    <row r="182" spans="1:7" x14ac:dyDescent="0.2">
      <c r="A182" s="3">
        <v>247</v>
      </c>
      <c r="G182" s="5" t="s">
        <v>131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E2" sqref="E2:E17"/>
    </sheetView>
  </sheetViews>
  <sheetFormatPr baseColWidth="10" defaultRowHeight="15" x14ac:dyDescent="0.25"/>
  <cols>
    <col min="1" max="3" width="11.42578125" style="26"/>
    <col min="4" max="4" width="20.140625" style="26" customWidth="1"/>
    <col min="5" max="16384" width="11.42578125" style="26"/>
  </cols>
  <sheetData>
    <row r="1" spans="1:8" s="1" customFormat="1" x14ac:dyDescent="0.25">
      <c r="B1" s="1" t="s">
        <v>164</v>
      </c>
      <c r="E1" s="1" t="s">
        <v>290</v>
      </c>
    </row>
    <row r="2" spans="1:8" x14ac:dyDescent="0.25">
      <c r="A2" s="26">
        <v>496</v>
      </c>
      <c r="B2" s="26" t="s">
        <v>291</v>
      </c>
      <c r="D2" s="26" t="str">
        <f>UPPER(SUBSTITUTE(B2,"c_","OFS_"))</f>
        <v>OFS_SYSTEMINITS</v>
      </c>
      <c r="E2" s="26" t="str">
        <f>CONCATENATE("#define ",D2," ",A2)</f>
        <v>#define OFS_SYSTEMINITS 496</v>
      </c>
      <c r="H2" s="26" t="s">
        <v>275</v>
      </c>
    </row>
    <row r="3" spans="1:8" x14ac:dyDescent="0.25">
      <c r="A3" s="26">
        <v>497</v>
      </c>
      <c r="B3" s="26" t="s">
        <v>292</v>
      </c>
      <c r="D3" s="26" t="str">
        <f t="shared" ref="D3:D17" si="0">UPPER(SUBSTITUTE(B3,"c_","OFS_"))</f>
        <v>OFS_VIBKNOBMODE</v>
      </c>
      <c r="E3" s="26" t="str">
        <f t="shared" ref="E3:E17" si="1">CONCATENATE("#define ",D3," ",A3)</f>
        <v>#define OFS_VIBKNOBMODE 497</v>
      </c>
      <c r="H3" s="26" t="s">
        <v>276</v>
      </c>
    </row>
    <row r="4" spans="1:8" x14ac:dyDescent="0.25">
      <c r="A4" s="26">
        <v>498</v>
      </c>
      <c r="B4" s="26" t="s">
        <v>293</v>
      </c>
      <c r="D4" s="26" t="str">
        <f t="shared" si="0"/>
        <v>OFS_RESTORECOMMONPRESETMASK</v>
      </c>
      <c r="E4" s="26" t="str">
        <f t="shared" si="1"/>
        <v>#define OFS_RESTORECOMMONPRESETMASK 498</v>
      </c>
      <c r="H4" s="26" t="s">
        <v>277</v>
      </c>
    </row>
    <row r="5" spans="1:8" x14ac:dyDescent="0.25">
      <c r="A5" s="26">
        <v>499</v>
      </c>
      <c r="B5" s="26" t="s">
        <v>294</v>
      </c>
      <c r="D5" s="26" t="str">
        <f t="shared" si="0"/>
        <v>OFS_BUTTONMASK0</v>
      </c>
      <c r="E5" s="26" t="str">
        <f t="shared" si="1"/>
        <v>#define OFS_BUTTONMASK0 499</v>
      </c>
      <c r="H5" s="26" t="s">
        <v>278</v>
      </c>
    </row>
    <row r="6" spans="1:8" x14ac:dyDescent="0.25">
      <c r="A6" s="26">
        <v>500</v>
      </c>
      <c r="B6" s="26" t="s">
        <v>295</v>
      </c>
      <c r="D6" s="26" t="str">
        <f t="shared" si="0"/>
        <v>OFS_BUTTONMASK1</v>
      </c>
      <c r="E6" s="26" t="str">
        <f t="shared" si="1"/>
        <v>#define OFS_BUTTONMASK1 500</v>
      </c>
      <c r="H6" s="26" t="s">
        <v>279</v>
      </c>
    </row>
    <row r="7" spans="1:8" x14ac:dyDescent="0.25">
      <c r="A7" s="26">
        <v>501</v>
      </c>
      <c r="B7" s="26" t="s">
        <v>296</v>
      </c>
      <c r="D7" s="26" t="str">
        <f t="shared" si="0"/>
        <v>OFS_CONFBITS1</v>
      </c>
      <c r="E7" s="26" t="str">
        <f t="shared" si="1"/>
        <v>#define OFS_CONFBITS1 501</v>
      </c>
      <c r="H7" s="26" t="s">
        <v>280</v>
      </c>
    </row>
    <row r="8" spans="1:8" x14ac:dyDescent="0.25">
      <c r="A8" s="26">
        <v>502</v>
      </c>
      <c r="B8" s="26" t="s">
        <v>297</v>
      </c>
      <c r="D8" s="26" t="str">
        <f t="shared" si="0"/>
        <v>OFS_CONFBITS2</v>
      </c>
      <c r="E8" s="26" t="str">
        <f t="shared" si="1"/>
        <v>#define OFS_CONFBITS2 502</v>
      </c>
      <c r="H8" s="26" t="s">
        <v>281</v>
      </c>
    </row>
    <row r="9" spans="1:8" x14ac:dyDescent="0.25">
      <c r="A9" s="26">
        <v>503</v>
      </c>
      <c r="B9" s="26" t="s">
        <v>298</v>
      </c>
      <c r="D9" s="26" t="str">
        <f t="shared" si="0"/>
        <v>OFS_ADCCONFIG</v>
      </c>
      <c r="E9" s="26" t="str">
        <f t="shared" si="1"/>
        <v>#define OFS_ADCCONFIG 503</v>
      </c>
      <c r="H9" s="26" t="s">
        <v>282</v>
      </c>
    </row>
    <row r="10" spans="1:8" x14ac:dyDescent="0.25">
      <c r="A10" s="26">
        <v>504</v>
      </c>
      <c r="B10" s="26" t="s">
        <v>299</v>
      </c>
      <c r="D10" s="26" t="str">
        <f t="shared" si="0"/>
        <v>OFS_1STDBSELECT</v>
      </c>
      <c r="E10" s="26" t="str">
        <f t="shared" si="1"/>
        <v>#define OFS_1STDBSELECT 504</v>
      </c>
      <c r="H10" s="26" t="s">
        <v>283</v>
      </c>
    </row>
    <row r="11" spans="1:8" x14ac:dyDescent="0.25">
      <c r="A11" s="26">
        <v>505</v>
      </c>
      <c r="B11" s="26" t="s">
        <v>300</v>
      </c>
      <c r="D11" s="26" t="str">
        <f t="shared" si="0"/>
        <v>OFS_2NDDBSELECT</v>
      </c>
      <c r="E11" s="26" t="str">
        <f t="shared" si="1"/>
        <v>#define OFS_2NDDBSELECT 505</v>
      </c>
      <c r="H11" s="26" t="s">
        <v>284</v>
      </c>
    </row>
    <row r="12" spans="1:8" x14ac:dyDescent="0.25">
      <c r="A12" s="26">
        <v>506</v>
      </c>
      <c r="B12" s="26" t="s">
        <v>301</v>
      </c>
      <c r="D12" s="26" t="str">
        <f t="shared" si="0"/>
        <v>OFS_PEDALDBSETUP</v>
      </c>
      <c r="E12" s="26" t="str">
        <f t="shared" si="1"/>
        <v>#define OFS_PEDALDBSETUP 506</v>
      </c>
      <c r="H12" s="26" t="s">
        <v>285</v>
      </c>
    </row>
    <row r="13" spans="1:8" x14ac:dyDescent="0.25">
      <c r="A13" s="26">
        <v>507</v>
      </c>
      <c r="B13" s="26" t="s">
        <v>302</v>
      </c>
      <c r="D13" s="26" t="str">
        <f t="shared" si="0"/>
        <v>OFS_ADCSCALING</v>
      </c>
      <c r="E13" s="26" t="str">
        <f t="shared" si="1"/>
        <v>#define OFS_ADCSCALING 507</v>
      </c>
      <c r="H13" s="26" t="s">
        <v>286</v>
      </c>
    </row>
    <row r="14" spans="1:8" x14ac:dyDescent="0.25">
      <c r="A14" s="26">
        <v>508</v>
      </c>
      <c r="D14" s="26" t="str">
        <f t="shared" si="0"/>
        <v/>
      </c>
    </row>
    <row r="15" spans="1:8" x14ac:dyDescent="0.25">
      <c r="A15" s="26">
        <v>509</v>
      </c>
      <c r="B15" s="26" t="s">
        <v>303</v>
      </c>
      <c r="D15" s="26" t="str">
        <f t="shared" si="0"/>
        <v>OFS_DEVICETYPE</v>
      </c>
      <c r="E15" s="26" t="str">
        <f t="shared" si="1"/>
        <v>#define OFS_DEVICETYPE 509</v>
      </c>
      <c r="H15" s="26" t="s">
        <v>287</v>
      </c>
    </row>
    <row r="16" spans="1:8" x14ac:dyDescent="0.25">
      <c r="A16" s="26">
        <v>510</v>
      </c>
      <c r="B16" s="26" t="s">
        <v>304</v>
      </c>
      <c r="D16" s="26" t="str">
        <f t="shared" si="0"/>
        <v>OFS_PRESETSTRUCTURE</v>
      </c>
      <c r="E16" s="26" t="str">
        <f t="shared" si="1"/>
        <v>#define OFS_PRESETSTRUCTURE 510</v>
      </c>
      <c r="H16" s="26" t="s">
        <v>288</v>
      </c>
    </row>
    <row r="17" spans="1:8" x14ac:dyDescent="0.25">
      <c r="A17" s="26">
        <v>511</v>
      </c>
      <c r="B17" s="26" t="s">
        <v>305</v>
      </c>
      <c r="D17" s="26" t="str">
        <f t="shared" si="0"/>
        <v>OFS_EDITMAGICFLAGIDX</v>
      </c>
      <c r="E17" s="26" t="str">
        <f t="shared" si="1"/>
        <v>#define OFS_EDITMAGICFLAGIDX 511</v>
      </c>
      <c r="H17" s="26" t="s">
        <v>289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FPGA SPI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Meyer</dc:creator>
  <cp:lastModifiedBy>Carsten</cp:lastModifiedBy>
  <dcterms:created xsi:type="dcterms:W3CDTF">2026-02-08T08:40:39Z</dcterms:created>
  <dcterms:modified xsi:type="dcterms:W3CDTF">2026-02-21T16:12:53Z</dcterms:modified>
</cp:coreProperties>
</file>