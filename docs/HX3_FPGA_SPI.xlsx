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</sheets>
  <calcPr calcId="162913"/>
</workbook>
</file>

<file path=xl/calcChain.xml><?xml version="1.0" encoding="utf-8"?>
<calcChain xmlns="http://schemas.openxmlformats.org/spreadsheetml/2006/main">
  <c r="Q23" i="3" l="1"/>
  <c r="Q26" i="3"/>
  <c r="Q32" i="3"/>
  <c r="Q33" i="3"/>
  <c r="Q34" i="3"/>
  <c r="R23" i="3"/>
  <c r="R26" i="3"/>
  <c r="R27" i="3"/>
  <c r="R32" i="3"/>
  <c r="R33" i="3"/>
  <c r="R34" i="3"/>
  <c r="R22" i="3"/>
  <c r="Q22" i="3"/>
  <c r="L28" i="3"/>
  <c r="R28" i="3" s="1"/>
  <c r="L35" i="3"/>
  <c r="Q35" i="3" s="1"/>
  <c r="L32" i="3"/>
  <c r="L27" i="3"/>
  <c r="Q27" i="3" s="1"/>
  <c r="L25" i="3"/>
  <c r="Q25" i="3" s="1"/>
  <c r="L24" i="3"/>
  <c r="Q24" i="3" s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3" i="3"/>
  <c r="E51" i="3"/>
  <c r="F51" i="3"/>
  <c r="R25" i="3" l="1"/>
  <c r="R24" i="3"/>
  <c r="L36" i="3"/>
  <c r="R35" i="3"/>
  <c r="L29" i="3"/>
  <c r="Q28" i="3"/>
  <c r="L30" i="3" l="1"/>
  <c r="Q29" i="3"/>
  <c r="R29" i="3"/>
  <c r="Q36" i="3"/>
  <c r="R36" i="3"/>
  <c r="L37" i="3"/>
  <c r="L31" i="3" l="1"/>
  <c r="R30" i="3"/>
  <c r="Q30" i="3"/>
  <c r="Q37" i="3"/>
  <c r="R37" i="3"/>
  <c r="L38" i="3"/>
  <c r="Q38" i="3" l="1"/>
  <c r="R38" i="3"/>
  <c r="L39" i="3"/>
  <c r="R31" i="3"/>
  <c r="Q31" i="3"/>
  <c r="L40" i="3" l="1"/>
  <c r="Q39" i="3"/>
  <c r="R39" i="3"/>
  <c r="L41" i="3" l="1"/>
  <c r="R40" i="3"/>
  <c r="Q40" i="3"/>
  <c r="Q41" i="3" l="1"/>
  <c r="R41" i="3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<sst xmlns="http://schemas.openxmlformats.org/spreadsheetml/2006/main" count="298" uniqueCount="251">
  <si>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</si>
  <si>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</si>
  <si>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</si>
  <si>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</si>
  <si>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</si>
  <si>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</si>
  <si>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</si>
  <si>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</si>
  <si>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</si>
  <si>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</si>
  <si>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</si>
  <si>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</si>
  <si>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</si>
  <si>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</si>
  <si>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</si>
  <si>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</si>
  <si>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FIFO für Sendedaten MCU an FPGA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</si>
  <si>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</si>
  <si>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</si>
  <si>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</si>
  <si>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</si>
  <si>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</si>
  <si>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</si>
  <si>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</si>
  <si>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</si>
  <si>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</si>
  <si>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</si>
  <si>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</si>
  <si>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</si>
  <si>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</si>
  <si>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</si>
  <si>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</si>
  <si>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</si>
  <si>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</si>
  <si>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</si>
  <si>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</si>
  <si>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</si>
  <si>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</si>
  <si>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</si>
  <si>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</si>
  <si>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</si>
  <si>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</si>
  <si>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</si>
  <si>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</si>
  <si>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</si>
  <si>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</si>
  <si>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</si>
  <si>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</si>
  <si>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</si>
  <si>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</si>
  <si>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</si>
  <si>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</si>
  <si>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</si>
  <si>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</si>
  <si>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</si>
  <si>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</si>
  <si>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</si>
  <si>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</si>
  <si>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</si>
  <si>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</si>
  <si>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</si>
  <si>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</si>
  <si>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</si>
  <si>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</si>
  <si>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</si>
  <si>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</si>
  <si>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</si>
  <si>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</si>
  <si>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</si>
  <si>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</si>
  <si>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</si>
  <si>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</si>
  <si>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</si>
  <si>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</si>
  <si>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</si>
  <si>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</si>
  <si>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</si>
  <si>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</si>
  <si>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</si>
  <si>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</si>
  <si>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</si>
  <si>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</si>
  <si>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</si>
  <si>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</si>
  <si>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</si>
  <si>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</si>
  <si>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</si>
  <si>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</si>
  <si>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</si>
  <si>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</si>
  <si>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</si>
  <si>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</si>
  <si>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</si>
  <si>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</si>
  <si>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</si>
  <si>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</si>
  <si>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</si>
  <si>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</si>
  <si>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</si>
  <si>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</si>
  <si>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 LOUDN BASS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</si>
  <si>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</si>
  <si>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</si>
  <si>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</si>
  <si>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</si>
  <si>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</si>
  <si>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</si>
  <si>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</si>
  <si>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</si>
  <si>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</si>
  <si>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</si>
  <si>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</si>
  <si>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</si>
  <si>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</si>
  <si>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</si>
  <si>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</si>
  <si>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</si>
  <si>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</si>
  <si>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</si>
  <si>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</si>
  <si>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1024x2</t>
  </si>
  <si>
    <t>512x2</t>
  </si>
  <si>
    <t>128x2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</si>
  <si>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</si>
  <si>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</si>
  <si>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</si>
  <si>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</si>
  <si>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</si>
  <si>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</si>
  <si>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</si>
  <si>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</si>
  <si>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</si>
  <si>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</si>
  <si>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</si>
  <si>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</si>
  <si>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</si>
  <si>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</si>
  <si>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</si>
  <si>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</si>
  <si>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</si>
  <si>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</si>
  <si>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</si>
  <si>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</si>
  <si>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</si>
  <si>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</si>
  <si>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</si>
  <si>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</si>
  <si>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</si>
  <si>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</si>
  <si>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</si>
  <si>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</si>
  <si>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</si>
  <si>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</si>
  <si>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</si>
  <si>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</si>
  <si>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</si>
  <si>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</si>
  <si>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</si>
  <si>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</si>
  <si>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</si>
  <si>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</si>
  <si>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</si>
  <si>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</si>
  <si>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</si>
  <si>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</si>
  <si>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</si>
  <si>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</si>
  <si>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</si>
  <si>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</si>
  <si>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</si>
  <si>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</si>
  <si>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</si>
  <si>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</si>
  <si>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</si>
  <si>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</si>
  <si>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</si>
  <si>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</si>
  <si>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</si>
  <si>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</si>
  <si>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</si>
  <si>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</si>
  <si>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</si>
  <si>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</si>
  <si>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</si>
  <si>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</si>
  <si>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</si>
  <si>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</si>
  <si>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</si>
  <si>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</si>
  <si>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</si>
  <si>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</si>
  <si>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</si>
  <si>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</si>
  <si>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</si>
  <si>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</si>
  <si>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</si>
  <si>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</si>
  <si>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</si>
  <si>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</si>
  <si>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</si>
  <si>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</si>
  <si>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</si>
  <si>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</si>
  <si>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</si>
  <si>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</si>
  <si>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</si>
  <si>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</si>
  <si>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</si>
  <si>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</si>
  <si>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</si>
  <si>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</si>
  <si>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</si>
  <si>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</si>
  <si>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</si>
  <si>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</si>
  <si>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</si>
  <si>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</si>
  <si>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</si>
  <si>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</si>
  <si>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</si>
  <si>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</si>
  <si>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</si>
  <si>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</si>
  <si>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</si>
  <si>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</si>
  <si>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</si>
  <si>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</si>
  <si>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</si>
  <si>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</si>
  <si>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</si>
  <si>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</si>
  <si>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</si>
  <si>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</si>
  <si>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</si>
  <si>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</si>
  <si>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</si>
  <si>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</si>
  <si>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</si>
  <si>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</si>
  <si>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</si>
  <si>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</si>
  <si>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</si>
  <si>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</si>
  <si>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</si>
  <si>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</si>
  <si>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</si>
  <si>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</si>
  <si>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</si>
  <si>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</si>
  <si>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</si>
  <si>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512x4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</si>
</sst>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B1" workbookViewId="0">
      <selection activeCell="N6" sqref="N6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126</v>
      </c>
      <c r="N1" s="5" t="s">
        <v>237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167</v>
      </c>
      <c r="F2" s="19" t="s">
        <v>168</v>
      </c>
      <c r="G2" s="1" t="s">
        <v>111</v>
      </c>
      <c r="L2" s="1" t="s">
        <v>196</v>
      </c>
      <c r="M2" s="1" t="s">
        <v>112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16</v>
      </c>
      <c r="L3" s="5">
        <v>0</v>
      </c>
      <c r="M3" s="5" t="s">
        <v>125</v>
      </c>
      <c r="N3" s="5">
        <v>32</v>
      </c>
      <c r="O3" s="5" t="s">
        <v>210</v>
      </c>
      <c r="P3" s="5" t="s">
        <v>234</v>
      </c>
      <c r="Q3" s="17" t="str">
        <f>CONCATENATE("#define LCTARGET_",UPPER(SUBSTITUTE(O3," ","_"))," ",L3)</f>
        <v>#define LCTARGET_SCAN_DRIVER 0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17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18</v>
      </c>
      <c r="L4" s="5">
        <v>1</v>
      </c>
      <c r="M4" s="5" t="s">
        <v>124</v>
      </c>
      <c r="N4" s="5">
        <v>32</v>
      </c>
      <c r="O4" s="5" t="s">
        <v>113</v>
      </c>
      <c r="P4" s="5" t="s">
        <v>234</v>
      </c>
      <c r="Q4" s="17" t="str">
        <f t="shared" ref="Q4:Q16" si="2">CONCATENATE("#define LCTARGET_",UPPER(SUBSTITUTE(O4," ","_"))," ",L4)</f>
        <v>#define LCTARGET_TAPERING 1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19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20</v>
      </c>
      <c r="L5" s="5">
        <v>2</v>
      </c>
      <c r="M5" s="5" t="s">
        <v>250</v>
      </c>
      <c r="N5" s="5">
        <v>32</v>
      </c>
      <c r="O5" s="5" t="s">
        <v>235</v>
      </c>
      <c r="P5" s="5" t="s">
        <v>234</v>
      </c>
      <c r="Q5" s="17" t="str">
        <f t="shared" si="2"/>
        <v>#define LCTARGET_FIR_COEFF 2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21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117</v>
      </c>
      <c r="P6" s="5" t="s">
        <v>236</v>
      </c>
      <c r="Q6" s="17" t="str">
        <f t="shared" si="2"/>
        <v>#define LCTARGET_KEYMAP 3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22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23</v>
      </c>
      <c r="L7" s="5">
        <v>4</v>
      </c>
      <c r="M7" s="5" t="s">
        <v>123</v>
      </c>
      <c r="N7" s="5">
        <v>16</v>
      </c>
      <c r="O7" s="5" t="s">
        <v>209</v>
      </c>
      <c r="P7" s="5" t="s">
        <v>234</v>
      </c>
      <c r="Q7" s="17" t="str">
        <f t="shared" si="2"/>
        <v>#define LCTARGET_WAVESET 4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182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178</v>
      </c>
      <c r="L8" s="5">
        <v>5</v>
      </c>
      <c r="N8" s="5">
        <v>16</v>
      </c>
      <c r="O8" s="5" t="s">
        <v>119</v>
      </c>
      <c r="P8" s="5" t="s">
        <v>236</v>
      </c>
      <c r="Q8" s="17" t="str">
        <f t="shared" si="2"/>
        <v>#define LCTARGET_TUNING_VALS 5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183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120</v>
      </c>
      <c r="N9" s="5">
        <v>16</v>
      </c>
      <c r="O9" s="5" t="s">
        <v>232</v>
      </c>
      <c r="P9" s="5" t="s">
        <v>236</v>
      </c>
      <c r="Q9" s="17" t="str">
        <f t="shared" si="2"/>
        <v>#define LCTARGET_HP_FILTER 6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184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165</v>
      </c>
      <c r="L10" s="5">
        <v>7</v>
      </c>
      <c r="M10" s="5" t="s">
        <v>121</v>
      </c>
      <c r="N10" s="5">
        <v>16</v>
      </c>
      <c r="O10" s="5" t="s">
        <v>118</v>
      </c>
      <c r="P10" s="5" t="s">
        <v>236</v>
      </c>
      <c r="Q10" s="17" t="str">
        <f t="shared" si="2"/>
        <v>#define LCTARGET_TUBE_AMP_SLOPE 7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185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236</v>
      </c>
      <c r="Q11" s="17" t="str">
        <f t="shared" si="2"/>
        <v>#define LCTARGET_UPPER_DRAWBARS 8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186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166</v>
      </c>
      <c r="L12" s="5">
        <v>9</v>
      </c>
      <c r="M12" s="5">
        <v>16</v>
      </c>
      <c r="N12" s="5">
        <v>8</v>
      </c>
      <c r="O12" s="5" t="s">
        <v>2</v>
      </c>
      <c r="P12" s="5" t="s">
        <v>236</v>
      </c>
      <c r="Q12" s="17" t="str">
        <f t="shared" si="2"/>
        <v>#define LCTARGET_LOWER_DRAWBARS 9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187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140</v>
      </c>
      <c r="L13" s="5">
        <v>10</v>
      </c>
      <c r="M13" s="5">
        <v>16</v>
      </c>
      <c r="N13" s="5">
        <v>8</v>
      </c>
      <c r="O13" s="5" t="s">
        <v>3</v>
      </c>
      <c r="P13" s="5" t="s">
        <v>236</v>
      </c>
      <c r="Q13" s="17" t="str">
        <f t="shared" si="2"/>
        <v>#define LCTARGET_PEDAL_DRAWBARS 10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188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164</v>
      </c>
      <c r="L14" s="5">
        <v>11</v>
      </c>
      <c r="M14" s="5" t="s">
        <v>122</v>
      </c>
      <c r="N14" s="5">
        <v>16</v>
      </c>
      <c r="O14" s="5" t="s">
        <v>114</v>
      </c>
      <c r="P14" s="5" t="s">
        <v>236</v>
      </c>
      <c r="Q14" s="17" t="str">
        <f t="shared" si="2"/>
        <v>#define LCTARGET_ADSR_UPPER 11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189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141</v>
      </c>
      <c r="L15" s="5">
        <v>12</v>
      </c>
      <c r="M15" s="5" t="s">
        <v>122</v>
      </c>
      <c r="N15" s="5">
        <v>16</v>
      </c>
      <c r="O15" s="5" t="s">
        <v>115</v>
      </c>
      <c r="P15" s="5" t="s">
        <v>236</v>
      </c>
      <c r="Q15" s="17" t="str">
        <f t="shared" si="2"/>
        <v>#define LCTARGET_ADSR_LOWER 12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190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163</v>
      </c>
      <c r="L16" s="5">
        <v>13</v>
      </c>
      <c r="M16" s="5" t="s">
        <v>122</v>
      </c>
      <c r="N16" s="5">
        <v>16</v>
      </c>
      <c r="O16" s="5" t="s">
        <v>116</v>
      </c>
      <c r="P16" s="5" t="s">
        <v>236</v>
      </c>
      <c r="Q16" s="17" t="str">
        <f t="shared" si="2"/>
        <v>#define LCTARGET_ADSR_PEDAL 13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191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195</v>
      </c>
    </row>
    <row r="18" spans="1:18" x14ac:dyDescent="0.2">
      <c r="A18" s="3">
        <v>14</v>
      </c>
      <c r="C18" s="11" t="s">
        <v>192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137</v>
      </c>
      <c r="L18" s="5">
        <v>15</v>
      </c>
      <c r="O18" s="5" t="s">
        <v>195</v>
      </c>
    </row>
    <row r="19" spans="1:18" x14ac:dyDescent="0.2">
      <c r="A19" s="3">
        <v>15</v>
      </c>
      <c r="C19" s="11" t="s">
        <v>193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136</v>
      </c>
    </row>
    <row r="20" spans="1:18" ht="15" x14ac:dyDescent="0.25">
      <c r="A20" s="3">
        <v>16</v>
      </c>
      <c r="L20" s="1" t="s">
        <v>211</v>
      </c>
    </row>
    <row r="21" spans="1:18" ht="15" x14ac:dyDescent="0.25">
      <c r="L21" s="1" t="s">
        <v>212</v>
      </c>
      <c r="M21" s="1" t="s">
        <v>112</v>
      </c>
      <c r="N21" s="1" t="s">
        <v>7</v>
      </c>
      <c r="O21" s="1" t="s">
        <v>0</v>
      </c>
    </row>
    <row r="22" spans="1:18" x14ac:dyDescent="0.2">
      <c r="L22" s="5">
        <v>944</v>
      </c>
      <c r="N22" s="5">
        <v>32</v>
      </c>
      <c r="O22" s="5" t="s">
        <v>225</v>
      </c>
      <c r="Q22" s="17" t="str">
        <f>CONCATENATE("#define BLOCK_",UPPER(SUBSTITUTE(O22," ","_"))," ",L22)</f>
        <v>#define BLOCK_CORE_BASE 944</v>
      </c>
      <c r="R22" s="21" t="str">
        <f>CONCATENATE("  c_",LOWER(SUBSTITUTE(O22," ","_")),": Word = ",L22,";")</f>
        <v xml:space="preserve">  c_core_base: Word = 944;</v>
      </c>
    </row>
    <row r="23" spans="1:18" x14ac:dyDescent="0.2">
      <c r="A23" s="3">
        <v>31</v>
      </c>
      <c r="L23" s="5">
        <v>944</v>
      </c>
      <c r="M23" s="5" t="s">
        <v>125</v>
      </c>
      <c r="N23" s="5">
        <v>32</v>
      </c>
      <c r="O23" s="5" t="s">
        <v>226</v>
      </c>
      <c r="Q23" s="17" t="str">
        <f t="shared" ref="Q23:Q41" si="6">CONCATENATE("#define BLOCK_",UPPER(SUBSTITUTE(O23," ","_"))," ",L23)</f>
        <v>#define BLOCK_SCAN 944</v>
      </c>
      <c r="R23" s="21" t="str">
        <f t="shared" ref="R23:R41" si="7">CONCATENATE("  c_",LOWER(SUBSTITUTE(O23," ","_")),": Word = ",L23,";")</f>
        <v xml:space="preserve">  c_scan: Word = 944;</v>
      </c>
    </row>
    <row r="24" spans="1:18" x14ac:dyDescent="0.2">
      <c r="A24" s="3">
        <v>32</v>
      </c>
      <c r="C24" s="6" t="s">
        <v>86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f>L23+2</f>
        <v>946</v>
      </c>
      <c r="M24" s="5">
        <v>4096</v>
      </c>
      <c r="N24" s="5">
        <v>8</v>
      </c>
      <c r="O24" s="5" t="s">
        <v>227</v>
      </c>
      <c r="Q24" s="17" t="str">
        <f t="shared" si="6"/>
        <v>#define BLOCK_VOICE 946</v>
      </c>
      <c r="R24" s="21" t="str">
        <f t="shared" si="7"/>
        <v xml:space="preserve">  c_voice: Word = 946;</v>
      </c>
    </row>
    <row r="25" spans="1:18" x14ac:dyDescent="0.2">
      <c r="A25" s="3">
        <v>33</v>
      </c>
      <c r="C25" s="6" t="s">
        <v>87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f>L22+3</f>
        <v>947</v>
      </c>
      <c r="M25" s="5">
        <v>4096</v>
      </c>
      <c r="N25" s="5">
        <v>8</v>
      </c>
      <c r="O25" s="5" t="s">
        <v>228</v>
      </c>
      <c r="Q25" s="17" t="str">
        <f t="shared" si="6"/>
        <v>#define BLOCK_DEFAULTS 947</v>
      </c>
      <c r="R25" s="21" t="str">
        <f t="shared" si="7"/>
        <v xml:space="preserve">  c_defaults: Word = 947;</v>
      </c>
    </row>
    <row r="26" spans="1:18" x14ac:dyDescent="0.2">
      <c r="A26" s="3">
        <v>34</v>
      </c>
      <c r="C26" s="6" t="s">
        <v>131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132</v>
      </c>
      <c r="L26" s="5">
        <v>953</v>
      </c>
      <c r="M26" s="5">
        <v>4096</v>
      </c>
      <c r="N26" s="5">
        <v>8</v>
      </c>
      <c r="O26" s="5" t="s">
        <v>229</v>
      </c>
      <c r="Q26" s="17" t="str">
        <f t="shared" si="6"/>
        <v>#define BLOCK_EEPROM 953</v>
      </c>
      <c r="R26" s="21" t="str">
        <f t="shared" si="7"/>
        <v xml:space="preserve">  c_eeprom: Word = 953;</v>
      </c>
    </row>
    <row r="27" spans="1:18" x14ac:dyDescent="0.2">
      <c r="A27" s="3">
        <v>35</v>
      </c>
      <c r="C27" s="6" t="s">
        <v>88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f>L22+11</f>
        <v>955</v>
      </c>
      <c r="N27" s="5">
        <v>32</v>
      </c>
      <c r="O27" s="5" t="s">
        <v>230</v>
      </c>
      <c r="Q27" s="17" t="str">
        <f t="shared" si="6"/>
        <v>#define BLOCK_TAPER_BASE 955</v>
      </c>
      <c r="R27" s="21" t="str">
        <f t="shared" si="7"/>
        <v xml:space="preserve">  c_taper_base: Word = 955;</v>
      </c>
    </row>
    <row r="28" spans="1:18" x14ac:dyDescent="0.2">
      <c r="A28" s="3">
        <v>36</v>
      </c>
      <c r="C28" s="6" t="s">
        <v>89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f>L23+11</f>
        <v>955</v>
      </c>
      <c r="M28" s="5" t="s">
        <v>124</v>
      </c>
      <c r="N28" s="5">
        <v>32</v>
      </c>
      <c r="O28" s="5" t="s">
        <v>213</v>
      </c>
      <c r="Q28" s="17" t="str">
        <f t="shared" si="6"/>
        <v>#define BLOCK_TAPER_0 955</v>
      </c>
      <c r="R28" s="21" t="str">
        <f t="shared" si="7"/>
        <v xml:space="preserve">  c_taper_0: Word = 955;</v>
      </c>
    </row>
    <row r="29" spans="1:18" x14ac:dyDescent="0.2">
      <c r="A29" s="3">
        <v>37</v>
      </c>
      <c r="C29" s="6" t="s">
        <v>130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133</v>
      </c>
      <c r="L29" s="5">
        <f>L28+1</f>
        <v>956</v>
      </c>
      <c r="M29" s="5" t="s">
        <v>124</v>
      </c>
      <c r="N29" s="5">
        <v>32</v>
      </c>
      <c r="O29" s="5" t="s">
        <v>214</v>
      </c>
      <c r="Q29" s="17" t="str">
        <f t="shared" si="6"/>
        <v>#define BLOCK_TAPER_1 956</v>
      </c>
      <c r="R29" s="21" t="str">
        <f t="shared" si="7"/>
        <v xml:space="preserve">  c_taper_1: Word = 956;</v>
      </c>
    </row>
    <row r="30" spans="1:18" x14ac:dyDescent="0.2">
      <c r="A30" s="3">
        <v>38</v>
      </c>
      <c r="C30" s="6" t="s">
        <v>90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f t="shared" ref="L30:L31" si="10">L29+1</f>
        <v>957</v>
      </c>
      <c r="M30" s="5" t="s">
        <v>124</v>
      </c>
      <c r="N30" s="5">
        <v>32</v>
      </c>
      <c r="O30" s="5" t="s">
        <v>215</v>
      </c>
      <c r="Q30" s="17" t="str">
        <f t="shared" si="6"/>
        <v>#define BLOCK_TAPER_2 957</v>
      </c>
      <c r="R30" s="21" t="str">
        <f t="shared" si="7"/>
        <v xml:space="preserve">  c_taper_2: Word = 957;</v>
      </c>
    </row>
    <row r="31" spans="1:18" x14ac:dyDescent="0.2">
      <c r="A31" s="3">
        <v>39</v>
      </c>
      <c r="C31" s="6" t="s">
        <v>91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f t="shared" si="10"/>
        <v>958</v>
      </c>
      <c r="M31" s="5" t="s">
        <v>124</v>
      </c>
      <c r="N31" s="5">
        <v>32</v>
      </c>
      <c r="O31" s="5" t="s">
        <v>216</v>
      </c>
      <c r="Q31" s="17" t="str">
        <f t="shared" si="6"/>
        <v>#define BLOCK_TAPER_3 958</v>
      </c>
      <c r="R31" s="21" t="str">
        <f t="shared" si="7"/>
        <v xml:space="preserve">  c_taper_3: Word = 958;</v>
      </c>
    </row>
    <row r="32" spans="1:18" x14ac:dyDescent="0.2">
      <c r="A32" s="3">
        <v>40</v>
      </c>
      <c r="C32" s="6" t="s">
        <v>93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146</v>
      </c>
      <c r="L32" s="5">
        <f>L22+15</f>
        <v>959</v>
      </c>
      <c r="M32" s="5" t="s">
        <v>121</v>
      </c>
      <c r="N32" s="5">
        <v>16</v>
      </c>
      <c r="O32" s="5" t="s">
        <v>233</v>
      </c>
      <c r="Q32" s="17" t="str">
        <f t="shared" si="6"/>
        <v>#define BLOCK_FIR_COEFF 959</v>
      </c>
      <c r="R32" s="21" t="str">
        <f t="shared" si="7"/>
        <v xml:space="preserve">  c_fir_coeff: Word = 959;</v>
      </c>
    </row>
    <row r="33" spans="1:18" x14ac:dyDescent="0.2">
      <c r="A33" s="3">
        <v>41</v>
      </c>
      <c r="C33" s="6" t="s">
        <v>94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147</v>
      </c>
      <c r="L33" s="5">
        <v>960</v>
      </c>
      <c r="N33" s="5">
        <v>16</v>
      </c>
      <c r="O33" s="5" t="s">
        <v>231</v>
      </c>
      <c r="Q33" s="17" t="str">
        <f t="shared" si="6"/>
        <v>#define BLOCK_WAVESET_BASE 960</v>
      </c>
      <c r="R33" s="21" t="str">
        <f t="shared" si="7"/>
        <v xml:space="preserve">  c_waveset_base: Word = 960;</v>
      </c>
    </row>
    <row r="34" spans="1:18" x14ac:dyDescent="0.2">
      <c r="A34" s="3">
        <v>42</v>
      </c>
      <c r="C34" s="6" t="s">
        <v>95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148</v>
      </c>
      <c r="L34" s="5">
        <v>960</v>
      </c>
      <c r="M34" s="5" t="s">
        <v>123</v>
      </c>
      <c r="N34" s="5">
        <v>16</v>
      </c>
      <c r="O34" s="5" t="s">
        <v>217</v>
      </c>
      <c r="Q34" s="17" t="str">
        <f t="shared" si="6"/>
        <v>#define BLOCK_WAVESET_0 960</v>
      </c>
      <c r="R34" s="21" t="str">
        <f t="shared" si="7"/>
        <v xml:space="preserve">  c_waveset_0: Word = 960;</v>
      </c>
    </row>
    <row r="35" spans="1:18" x14ac:dyDescent="0.2">
      <c r="A35" s="3">
        <v>43</v>
      </c>
      <c r="C35" s="6" t="s">
        <v>92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149</v>
      </c>
      <c r="L35" s="5">
        <f>L34+4</f>
        <v>964</v>
      </c>
      <c r="M35" s="5" t="s">
        <v>123</v>
      </c>
      <c r="N35" s="5">
        <v>16</v>
      </c>
      <c r="O35" s="5" t="s">
        <v>218</v>
      </c>
      <c r="Q35" s="17" t="str">
        <f t="shared" si="6"/>
        <v>#define BLOCK_WAVESET_1 964</v>
      </c>
      <c r="R35" s="21" t="str">
        <f t="shared" si="7"/>
        <v xml:space="preserve">  c_waveset_1: Word = 964;</v>
      </c>
    </row>
    <row r="36" spans="1:18" x14ac:dyDescent="0.2">
      <c r="A36" s="3">
        <v>44</v>
      </c>
      <c r="C36" s="6" t="s">
        <v>96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147</v>
      </c>
      <c r="L36" s="5">
        <f t="shared" ref="L36:L41" si="11">L35+4</f>
        <v>968</v>
      </c>
      <c r="M36" s="5" t="s">
        <v>123</v>
      </c>
      <c r="N36" s="5">
        <v>16</v>
      </c>
      <c r="O36" s="5" t="s">
        <v>219</v>
      </c>
      <c r="Q36" s="17" t="str">
        <f t="shared" si="6"/>
        <v>#define BLOCK_WAVESET_2 968</v>
      </c>
      <c r="R36" s="21" t="str">
        <f t="shared" si="7"/>
        <v xml:space="preserve">  c_waveset_2: Word = 968;</v>
      </c>
    </row>
    <row r="37" spans="1:18" x14ac:dyDescent="0.2">
      <c r="A37" s="3">
        <v>45</v>
      </c>
      <c r="C37" s="6" t="s">
        <v>97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150</v>
      </c>
      <c r="L37" s="5">
        <f t="shared" si="11"/>
        <v>972</v>
      </c>
      <c r="M37" s="5" t="s">
        <v>123</v>
      </c>
      <c r="N37" s="5">
        <v>16</v>
      </c>
      <c r="O37" s="5" t="s">
        <v>220</v>
      </c>
      <c r="Q37" s="17" t="str">
        <f t="shared" si="6"/>
        <v>#define BLOCK_WAVESET_3 972</v>
      </c>
      <c r="R37" s="21" t="str">
        <f t="shared" si="7"/>
        <v xml:space="preserve">  c_waveset_3: Word = 972;</v>
      </c>
    </row>
    <row r="38" spans="1:18" x14ac:dyDescent="0.2">
      <c r="A38" s="3">
        <v>46</v>
      </c>
      <c r="C38" s="6" t="s">
        <v>98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151</v>
      </c>
      <c r="L38" s="5">
        <f t="shared" si="11"/>
        <v>976</v>
      </c>
      <c r="M38" s="5" t="s">
        <v>123</v>
      </c>
      <c r="N38" s="5">
        <v>16</v>
      </c>
      <c r="O38" s="5" t="s">
        <v>221</v>
      </c>
      <c r="Q38" s="17" t="str">
        <f t="shared" si="6"/>
        <v>#define BLOCK_WAVESET_4 976</v>
      </c>
      <c r="R38" s="21" t="str">
        <f t="shared" si="7"/>
        <v xml:space="preserve">  c_waveset_4: Word = 976;</v>
      </c>
    </row>
    <row r="39" spans="1:18" x14ac:dyDescent="0.2">
      <c r="A39" s="3">
        <v>47</v>
      </c>
      <c r="C39" s="6" t="s">
        <v>99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152</v>
      </c>
      <c r="L39" s="5">
        <f t="shared" si="11"/>
        <v>980</v>
      </c>
      <c r="M39" s="5" t="s">
        <v>123</v>
      </c>
      <c r="N39" s="5">
        <v>16</v>
      </c>
      <c r="O39" s="5" t="s">
        <v>222</v>
      </c>
      <c r="Q39" s="17" t="str">
        <f t="shared" si="6"/>
        <v>#define BLOCK_WAVESET_5 980</v>
      </c>
      <c r="R39" s="21" t="str">
        <f t="shared" si="7"/>
        <v xml:space="preserve">  c_waveset_5: Word = 980;</v>
      </c>
    </row>
    <row r="40" spans="1:18" x14ac:dyDescent="0.2">
      <c r="A40" s="3">
        <v>48</v>
      </c>
      <c r="F40" s="21"/>
      <c r="L40" s="5">
        <f t="shared" si="11"/>
        <v>984</v>
      </c>
      <c r="M40" s="5" t="s">
        <v>123</v>
      </c>
      <c r="N40" s="5">
        <v>16</v>
      </c>
      <c r="O40" s="5" t="s">
        <v>223</v>
      </c>
      <c r="Q40" s="17" t="str">
        <f t="shared" si="6"/>
        <v>#define BLOCK_WAVESET_6 984</v>
      </c>
      <c r="R40" s="21" t="str">
        <f t="shared" si="7"/>
        <v xml:space="preserve">  c_waveset_6: Word = 984;</v>
      </c>
    </row>
    <row r="41" spans="1:18" x14ac:dyDescent="0.2">
      <c r="F41" s="21"/>
      <c r="L41" s="5">
        <f t="shared" si="11"/>
        <v>988</v>
      </c>
      <c r="M41" s="5" t="s">
        <v>123</v>
      </c>
      <c r="N41" s="5">
        <v>16</v>
      </c>
      <c r="O41" s="5" t="s">
        <v>224</v>
      </c>
      <c r="Q41" s="17" t="str">
        <f t="shared" si="6"/>
        <v>#define BLOCK_WAVESET_7 988</v>
      </c>
      <c r="R41" s="21" t="str">
        <f t="shared" si="7"/>
        <v xml:space="preserve">  c_waveset_7: Word = 988;</v>
      </c>
    </row>
    <row r="42" spans="1:18" x14ac:dyDescent="0.2">
      <c r="F42" s="21"/>
    </row>
    <row r="43" spans="1:18" x14ac:dyDescent="0.2">
      <c r="A43" s="3">
        <v>63</v>
      </c>
      <c r="F43" s="21"/>
      <c r="Q43" s="17"/>
    </row>
    <row r="44" spans="1:18" x14ac:dyDescent="0.2">
      <c r="A44" s="3">
        <v>64</v>
      </c>
      <c r="C44" s="7" t="s">
        <v>27</v>
      </c>
      <c r="D44" s="5">
        <v>8</v>
      </c>
      <c r="E44" s="17" t="str">
        <f t="shared" ref="E44:E52" si="12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145</v>
      </c>
      <c r="Q44" s="17"/>
    </row>
    <row r="45" spans="1:18" x14ac:dyDescent="0.2">
      <c r="A45" s="3">
        <v>65</v>
      </c>
      <c r="C45" s="7" t="s">
        <v>28</v>
      </c>
      <c r="D45" s="5">
        <v>8</v>
      </c>
      <c r="E45" s="17" t="str">
        <f t="shared" si="12"/>
        <v>#define SPI_TEST_SEL 65</v>
      </c>
      <c r="F45" s="21" t="str">
        <f t="shared" si="9"/>
        <v xml:space="preserve">  c_spi_test_sel = 65;</v>
      </c>
      <c r="G45" s="5" t="s">
        <v>29</v>
      </c>
      <c r="Q45" s="17"/>
    </row>
    <row r="46" spans="1:18" x14ac:dyDescent="0.2">
      <c r="A46" s="3">
        <v>66</v>
      </c>
      <c r="C46" s="7" t="s">
        <v>30</v>
      </c>
      <c r="D46" s="16">
        <v>8</v>
      </c>
      <c r="E46" s="17" t="str">
        <f t="shared" si="12"/>
        <v>#define SPI_INSERTS 66</v>
      </c>
      <c r="F46" s="21" t="str">
        <f t="shared" si="9"/>
        <v xml:space="preserve">  c_spi_inserts = 66;</v>
      </c>
      <c r="G46" s="16" t="s">
        <v>143</v>
      </c>
      <c r="H46" s="16"/>
      <c r="I46" s="16"/>
      <c r="Q46" s="17"/>
    </row>
    <row r="47" spans="1:18" x14ac:dyDescent="0.2">
      <c r="A47" s="3">
        <v>67</v>
      </c>
      <c r="C47" s="7" t="s">
        <v>31</v>
      </c>
      <c r="D47" s="5">
        <v>8</v>
      </c>
      <c r="E47" s="17" t="str">
        <f t="shared" si="12"/>
        <v>#define SPI_LEAK_RNDMASK 67</v>
      </c>
      <c r="F47" s="21" t="str">
        <f t="shared" si="9"/>
        <v xml:space="preserve">  c_spi_leak_rndmask = 67;</v>
      </c>
      <c r="G47" s="5" t="s">
        <v>144</v>
      </c>
      <c r="Q47" s="17"/>
    </row>
    <row r="48" spans="1:18" x14ac:dyDescent="0.2">
      <c r="A48" s="3">
        <v>68</v>
      </c>
      <c r="C48" s="7" t="s">
        <v>32</v>
      </c>
      <c r="D48" s="5">
        <v>8</v>
      </c>
      <c r="E48" s="17" t="str">
        <f t="shared" si="12"/>
        <v>#define SPI_DDS_TUNING 68</v>
      </c>
      <c r="F48" s="21" t="str">
        <f t="shared" si="9"/>
        <v xml:space="preserve">  c_spi_dds_tuning = 68;</v>
      </c>
      <c r="G48" s="5" t="s">
        <v>142</v>
      </c>
      <c r="Q48" s="17"/>
    </row>
    <row r="49" spans="1:17" x14ac:dyDescent="0.2">
      <c r="A49" s="3">
        <v>69</v>
      </c>
      <c r="C49" s="7" t="s">
        <v>33</v>
      </c>
      <c r="D49" s="5">
        <v>8</v>
      </c>
      <c r="E49" s="17" t="str">
        <f t="shared" si="12"/>
        <v>#define SPI_AMP_IN_LVL 69</v>
      </c>
      <c r="F49" s="21" t="str">
        <f t="shared" si="9"/>
        <v xml:space="preserve">  c_spi_amp_in_lvl = 69;</v>
      </c>
      <c r="G49" s="5" t="s">
        <v>128</v>
      </c>
      <c r="Q49" s="17"/>
    </row>
    <row r="50" spans="1:17" x14ac:dyDescent="0.2">
      <c r="A50" s="3">
        <v>70</v>
      </c>
      <c r="C50" s="7" t="s">
        <v>34</v>
      </c>
      <c r="D50" s="5">
        <v>8</v>
      </c>
      <c r="E50" s="17" t="str">
        <f t="shared" si="12"/>
        <v>#define SPI_AMP_OUT_LVL 70</v>
      </c>
      <c r="F50" s="21" t="str">
        <f t="shared" si="9"/>
        <v xml:space="preserve">  c_spi_amp_out_lvl = 70;</v>
      </c>
      <c r="G50" s="5" t="s">
        <v>129</v>
      </c>
      <c r="Q50" s="17"/>
    </row>
    <row r="51" spans="1:17" x14ac:dyDescent="0.2">
      <c r="A51" s="3">
        <v>71</v>
      </c>
      <c r="C51" s="7" t="s">
        <v>60</v>
      </c>
      <c r="D51" s="5">
        <v>8</v>
      </c>
      <c r="E51" s="17" t="str">
        <f t="shared" si="12"/>
        <v>#define SPI_NC 71</v>
      </c>
      <c r="F51" s="21" t="str">
        <f t="shared" si="9"/>
        <v xml:space="preserve">  c_spi_nc = 71;</v>
      </c>
      <c r="Q51" s="17"/>
    </row>
    <row r="52" spans="1:17" x14ac:dyDescent="0.2">
      <c r="A52" s="3">
        <v>72</v>
      </c>
      <c r="C52" s="7" t="s">
        <v>35</v>
      </c>
      <c r="D52" s="5">
        <v>8</v>
      </c>
      <c r="E52" s="17" t="str">
        <f t="shared" si="12"/>
        <v>#define SPI_MASTER_VOLUME 72</v>
      </c>
      <c r="F52" s="21" t="str">
        <f t="shared" si="9"/>
        <v xml:space="preserve">  c_spi_master_volume = 72;</v>
      </c>
      <c r="G52" s="5" t="s">
        <v>36</v>
      </c>
      <c r="Q52" s="17"/>
    </row>
    <row r="53" spans="1:17" x14ac:dyDescent="0.2">
      <c r="A53" s="3">
        <v>73</v>
      </c>
      <c r="F53" s="21"/>
      <c r="Q53" s="17"/>
    </row>
    <row r="54" spans="1:17" x14ac:dyDescent="0.2">
      <c r="F54" s="21"/>
      <c r="Q54" s="17"/>
    </row>
    <row r="55" spans="1:17" x14ac:dyDescent="0.2">
      <c r="F55" s="21"/>
      <c r="Q55" s="17"/>
    </row>
    <row r="56" spans="1:17" x14ac:dyDescent="0.2">
      <c r="A56" s="3">
        <v>79</v>
      </c>
      <c r="F56" s="21"/>
      <c r="Q56" s="17"/>
    </row>
    <row r="57" spans="1:17" x14ac:dyDescent="0.2">
      <c r="A57" s="3">
        <v>80</v>
      </c>
      <c r="C57" s="8" t="s">
        <v>100</v>
      </c>
      <c r="D57" s="5">
        <v>8</v>
      </c>
      <c r="E57" s="17" t="str">
        <f t="shared" ref="E57:E66" si="13">CONCATENATE("#define SPI_",UPPER(SUBSTITUTE(C57," ","_"))," ",A57)</f>
        <v>#define SPI_AO28__LOUDN_BASS 80</v>
      </c>
      <c r="F57" s="21" t="str">
        <f t="shared" si="9"/>
        <v xml:space="preserve">  c_spi_ao28__loudn_bass = 80;</v>
      </c>
      <c r="G57" s="5" t="s">
        <v>127</v>
      </c>
      <c r="Q57" s="17"/>
    </row>
    <row r="58" spans="1:17" x14ac:dyDescent="0.2">
      <c r="A58" s="3">
        <v>81</v>
      </c>
      <c r="C58" s="8" t="s">
        <v>101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7" x14ac:dyDescent="0.2">
      <c r="A59" s="3">
        <v>82</v>
      </c>
      <c r="C59" s="8" t="s">
        <v>102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7" x14ac:dyDescent="0.2">
      <c r="A60" s="3">
        <v>83</v>
      </c>
      <c r="C60" s="8" t="s">
        <v>103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7" x14ac:dyDescent="0.2">
      <c r="A61" s="3">
        <v>84</v>
      </c>
      <c r="C61" s="8" t="s">
        <v>104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7" x14ac:dyDescent="0.2">
      <c r="A62" s="3">
        <v>85</v>
      </c>
      <c r="C62" s="8" t="s">
        <v>105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7" x14ac:dyDescent="0.2">
      <c r="A63" s="3">
        <v>86</v>
      </c>
      <c r="C63" s="8" t="s">
        <v>106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7" x14ac:dyDescent="0.2">
      <c r="A64" s="3">
        <v>87</v>
      </c>
      <c r="C64" s="8" t="s">
        <v>107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108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109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110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197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198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199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62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63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64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65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66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67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68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69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70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71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72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73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74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208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238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249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153</v>
      </c>
    </row>
    <row r="94" spans="1:7" x14ac:dyDescent="0.2">
      <c r="A94" s="3">
        <v>145</v>
      </c>
      <c r="C94" s="23" t="s">
        <v>248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153</v>
      </c>
    </row>
    <row r="95" spans="1:7" x14ac:dyDescent="0.2">
      <c r="A95" s="3">
        <v>146</v>
      </c>
      <c r="C95" s="23" t="s">
        <v>247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153</v>
      </c>
    </row>
    <row r="96" spans="1:7" x14ac:dyDescent="0.2">
      <c r="A96" s="3">
        <v>147</v>
      </c>
      <c r="C96" s="23" t="s">
        <v>246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153</v>
      </c>
    </row>
    <row r="97" spans="1:7" x14ac:dyDescent="0.2">
      <c r="A97" s="3">
        <v>148</v>
      </c>
      <c r="C97" s="23" t="s">
        <v>245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153</v>
      </c>
    </row>
    <row r="98" spans="1:7" x14ac:dyDescent="0.2">
      <c r="A98" s="3">
        <v>149</v>
      </c>
      <c r="C98" s="23" t="s">
        <v>244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153</v>
      </c>
    </row>
    <row r="99" spans="1:7" x14ac:dyDescent="0.2">
      <c r="A99" s="3">
        <v>150</v>
      </c>
      <c r="C99" s="9" t="s">
        <v>75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161</v>
      </c>
    </row>
    <row r="100" spans="1:7" x14ac:dyDescent="0.2">
      <c r="A100" s="3">
        <v>151</v>
      </c>
      <c r="C100" s="9" t="s">
        <v>239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153</v>
      </c>
    </row>
    <row r="101" spans="1:7" x14ac:dyDescent="0.2">
      <c r="A101" s="3">
        <v>152</v>
      </c>
      <c r="C101" s="9" t="s">
        <v>240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153</v>
      </c>
    </row>
    <row r="102" spans="1:7" x14ac:dyDescent="0.2">
      <c r="A102" s="3">
        <v>153</v>
      </c>
      <c r="C102" s="9" t="s">
        <v>241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153</v>
      </c>
    </row>
    <row r="103" spans="1:7" x14ac:dyDescent="0.2">
      <c r="A103" s="3">
        <v>154</v>
      </c>
      <c r="C103" s="9" t="s">
        <v>242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153</v>
      </c>
    </row>
    <row r="104" spans="1:7" x14ac:dyDescent="0.2">
      <c r="A104" s="3">
        <v>155</v>
      </c>
      <c r="C104" s="9" t="s">
        <v>243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76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77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160</v>
      </c>
    </row>
    <row r="110" spans="1:7" x14ac:dyDescent="0.2">
      <c r="A110" s="3">
        <v>161</v>
      </c>
      <c r="C110" s="9" t="s">
        <v>78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79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80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81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82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83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84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85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154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155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156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157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158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159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60</v>
      </c>
      <c r="D125" s="5">
        <v>8</v>
      </c>
      <c r="E125" s="17"/>
      <c r="F125" s="21"/>
      <c r="G125" s="5" t="s">
        <v>138</v>
      </c>
    </row>
    <row r="126" spans="1:7" x14ac:dyDescent="0.2">
      <c r="A126" s="3">
        <v>177</v>
      </c>
      <c r="C126" s="12" t="s">
        <v>38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39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37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139</v>
      </c>
    </row>
    <row r="129" spans="1:7" x14ac:dyDescent="0.2">
      <c r="A129" s="3">
        <v>180</v>
      </c>
      <c r="C129" s="12" t="s">
        <v>40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41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42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43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44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45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60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46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47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48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49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50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169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51</v>
      </c>
    </row>
    <row r="142" spans="1:7" x14ac:dyDescent="0.2">
      <c r="A142" s="3">
        <v>193</v>
      </c>
      <c r="C142" s="24" t="s">
        <v>170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171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172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194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173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174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175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176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52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53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54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59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61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200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162</v>
      </c>
    </row>
    <row r="160" spans="1:7" x14ac:dyDescent="0.2">
      <c r="A160" s="3">
        <v>225</v>
      </c>
      <c r="C160" s="24" t="s">
        <v>204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201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205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202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206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203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207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55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56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57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58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24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179</v>
      </c>
    </row>
    <row r="178" spans="1:7" x14ac:dyDescent="0.2">
      <c r="A178" s="3">
        <v>243</v>
      </c>
      <c r="B178" s="15" t="s">
        <v>25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180</v>
      </c>
    </row>
    <row r="179" spans="1:7" x14ac:dyDescent="0.2">
      <c r="A179" s="3">
        <v>244</v>
      </c>
      <c r="B179" s="15" t="s">
        <v>26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181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177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134</v>
      </c>
    </row>
    <row r="182" spans="1:7" x14ac:dyDescent="0.2">
      <c r="A182" s="3">
        <v>247</v>
      </c>
      <c r="G182" s="5" t="s">
        <v>135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FPGA SPI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2026-02-14T20:12:15Z</dcterms:modified>
</cp:coreProperties>
</file>