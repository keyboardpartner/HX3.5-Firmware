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HX3 Framework" sheetId="4" r:id="rId1"/>
    <sheet name="HX§ Framework alt" sheetId="2" r:id="rId2"/>
    <sheet name="ScanController" sheetId="1" r:id="rId3"/>
  </sheets>
  <calcPr calcId="162913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2" i="1"/>
  <c r="I3" i="1"/>
  <c r="K3" i="1"/>
  <c r="I4" i="1"/>
  <c r="K4" i="1"/>
  <c r="I5" i="1"/>
  <c r="K5" i="1"/>
  <c r="I6" i="1"/>
  <c r="K6" i="1"/>
  <c r="I7" i="1"/>
  <c r="J7" i="1"/>
  <c r="L7" i="1" s="1"/>
  <c r="K7" i="1"/>
  <c r="I8" i="1"/>
  <c r="J8" i="1"/>
  <c r="K8" i="1"/>
  <c r="I9" i="1"/>
  <c r="J9" i="1"/>
  <c r="K9" i="1"/>
  <c r="I10" i="1"/>
  <c r="J10" i="1"/>
  <c r="K10" i="1"/>
  <c r="I11" i="1"/>
  <c r="J11" i="1"/>
  <c r="L11" i="1" s="1"/>
  <c r="K11" i="1"/>
  <c r="I12" i="1"/>
  <c r="K12" i="1"/>
  <c r="I13" i="1"/>
  <c r="K13" i="1"/>
  <c r="I14" i="1"/>
  <c r="K14" i="1"/>
  <c r="I15" i="1"/>
  <c r="K15" i="1"/>
  <c r="I16" i="1"/>
  <c r="K16" i="1"/>
  <c r="I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J28" i="1"/>
  <c r="K28" i="1"/>
  <c r="I29" i="1"/>
  <c r="K29" i="1"/>
  <c r="I30" i="1"/>
  <c r="K30" i="1"/>
  <c r="I31" i="1"/>
  <c r="K31" i="1"/>
  <c r="I32" i="1"/>
  <c r="K32" i="1"/>
  <c r="I33" i="1"/>
  <c r="K33" i="1"/>
  <c r="I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J45" i="1"/>
  <c r="K45" i="1"/>
  <c r="I46" i="1"/>
  <c r="K46" i="1"/>
  <c r="I47" i="1"/>
  <c r="K47" i="1"/>
  <c r="I48" i="1"/>
  <c r="K48" i="1"/>
  <c r="I49" i="1"/>
  <c r="K49" i="1"/>
  <c r="I50" i="1"/>
  <c r="K50" i="1"/>
  <c r="I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I59" i="1"/>
  <c r="K59" i="1"/>
  <c r="I60" i="1"/>
  <c r="K60" i="1"/>
  <c r="I61" i="1"/>
  <c r="K61" i="1"/>
  <c r="I62" i="1"/>
  <c r="J62" i="1"/>
  <c r="K62" i="1"/>
  <c r="I63" i="1"/>
  <c r="K63" i="1"/>
  <c r="I64" i="1"/>
  <c r="K64" i="1"/>
  <c r="I65" i="1"/>
  <c r="K65" i="1"/>
  <c r="I66" i="1"/>
  <c r="K66" i="1"/>
  <c r="I67" i="1"/>
  <c r="K67" i="1"/>
  <c r="I68" i="1"/>
  <c r="K68" i="1"/>
  <c r="I69" i="1"/>
  <c r="K69" i="1"/>
  <c r="I70" i="1"/>
  <c r="K70" i="1"/>
  <c r="G2" i="1"/>
  <c r="N11" i="1"/>
  <c r="N3" i="1"/>
  <c r="N4" i="1"/>
  <c r="N5" i="1"/>
  <c r="N6" i="1"/>
  <c r="N7" i="1"/>
  <c r="N8" i="1"/>
  <c r="N9" i="1"/>
  <c r="N10" i="1"/>
  <c r="N2" i="1"/>
  <c r="K2" i="1"/>
  <c r="J2" i="1"/>
  <c r="I2" i="1"/>
  <c r="A54" i="4"/>
  <c r="H49" i="4"/>
  <c r="I49" i="4"/>
  <c r="K49" i="4" s="1"/>
  <c r="J49" i="4"/>
  <c r="A49" i="4"/>
  <c r="A50" i="4"/>
  <c r="H44" i="4"/>
  <c r="K44" i="4" s="1"/>
  <c r="I44" i="4"/>
  <c r="J44" i="4"/>
  <c r="H36" i="4"/>
  <c r="I36" i="4"/>
  <c r="K36" i="4" s="1"/>
  <c r="J36" i="4"/>
  <c r="H33" i="4"/>
  <c r="I33" i="4"/>
  <c r="K33" i="4" s="1"/>
  <c r="J33" i="4"/>
  <c r="H23" i="4"/>
  <c r="I23" i="4"/>
  <c r="J23" i="4"/>
  <c r="H53" i="4"/>
  <c r="I53" i="4"/>
  <c r="J53" i="4"/>
  <c r="L2" i="4"/>
  <c r="L3" i="4"/>
  <c r="L4" i="4"/>
  <c r="L5" i="4"/>
  <c r="L6" i="4"/>
  <c r="L7" i="4"/>
  <c r="L8" i="4"/>
  <c r="L9" i="4"/>
  <c r="L10" i="4"/>
  <c r="L11" i="4"/>
  <c r="L12" i="4"/>
  <c r="L13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4" i="4"/>
  <c r="J25" i="4"/>
  <c r="J26" i="4"/>
  <c r="J27" i="4"/>
  <c r="J28" i="4"/>
  <c r="J29" i="4"/>
  <c r="J30" i="4"/>
  <c r="J31" i="4"/>
  <c r="J32" i="4"/>
  <c r="J34" i="4"/>
  <c r="J35" i="4"/>
  <c r="J37" i="4"/>
  <c r="J38" i="4"/>
  <c r="J39" i="4"/>
  <c r="J40" i="4"/>
  <c r="J41" i="4"/>
  <c r="J42" i="4"/>
  <c r="J43" i="4"/>
  <c r="J45" i="4"/>
  <c r="J46" i="4"/>
  <c r="J47" i="4"/>
  <c r="J48" i="4"/>
  <c r="J50" i="4"/>
  <c r="J51" i="4"/>
  <c r="J5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4" i="4"/>
  <c r="I25" i="4"/>
  <c r="I26" i="4"/>
  <c r="I27" i="4"/>
  <c r="I28" i="4"/>
  <c r="I29" i="4"/>
  <c r="I30" i="4"/>
  <c r="I31" i="4"/>
  <c r="I32" i="4"/>
  <c r="I34" i="4"/>
  <c r="I35" i="4"/>
  <c r="I37" i="4"/>
  <c r="I38" i="4"/>
  <c r="I39" i="4"/>
  <c r="I40" i="4"/>
  <c r="I41" i="4"/>
  <c r="I42" i="4"/>
  <c r="I43" i="4"/>
  <c r="I45" i="4"/>
  <c r="I46" i="4"/>
  <c r="I47" i="4"/>
  <c r="I48" i="4"/>
  <c r="I50" i="4"/>
  <c r="I51" i="4"/>
  <c r="I52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4" i="4"/>
  <c r="H25" i="4"/>
  <c r="H26" i="4"/>
  <c r="H27" i="4"/>
  <c r="H28" i="4"/>
  <c r="H29" i="4"/>
  <c r="H30" i="4"/>
  <c r="H31" i="4"/>
  <c r="H32" i="4"/>
  <c r="H34" i="4"/>
  <c r="H35" i="4"/>
  <c r="H37" i="4"/>
  <c r="H38" i="4"/>
  <c r="H39" i="4"/>
  <c r="H40" i="4"/>
  <c r="H41" i="4"/>
  <c r="H42" i="4"/>
  <c r="H43" i="4"/>
  <c r="H45" i="4"/>
  <c r="H46" i="4"/>
  <c r="H47" i="4"/>
  <c r="H48" i="4"/>
  <c r="H50" i="4"/>
  <c r="H51" i="4"/>
  <c r="H52" i="4"/>
  <c r="H2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51" i="4" s="1"/>
  <c r="A52" i="4" s="1"/>
  <c r="A53" i="4" s="1"/>
  <c r="K6" i="2"/>
  <c r="K7" i="2"/>
  <c r="K10" i="2"/>
  <c r="K11" i="2"/>
  <c r="K14" i="2"/>
  <c r="K15" i="2"/>
  <c r="K16" i="2"/>
  <c r="K17" i="2"/>
  <c r="K18" i="2"/>
  <c r="K19" i="2"/>
  <c r="K20" i="2"/>
  <c r="K21" i="2"/>
  <c r="K22" i="2"/>
  <c r="K24" i="2"/>
  <c r="K25" i="2"/>
  <c r="K26" i="2"/>
  <c r="K27" i="2"/>
  <c r="K28" i="2"/>
  <c r="K29" i="2"/>
  <c r="K30" i="2"/>
  <c r="K31" i="2"/>
  <c r="K32" i="2"/>
  <c r="K37" i="2"/>
  <c r="K38" i="2"/>
  <c r="K39" i="2"/>
  <c r="K40" i="2"/>
  <c r="K41" i="2"/>
  <c r="K42" i="2"/>
  <c r="K2" i="2"/>
  <c r="L62" i="1" l="1"/>
  <c r="L8" i="1"/>
  <c r="L10" i="1"/>
  <c r="L28" i="1"/>
  <c r="L45" i="1"/>
  <c r="L9" i="1"/>
  <c r="L2" i="1"/>
  <c r="K23" i="4"/>
  <c r="K53" i="4"/>
  <c r="K20" i="4"/>
  <c r="K32" i="4"/>
  <c r="K19" i="4"/>
  <c r="K29" i="4"/>
  <c r="K42" i="4"/>
  <c r="K2" i="4"/>
  <c r="K15" i="4"/>
  <c r="K3" i="4"/>
  <c r="K41" i="4"/>
  <c r="K31" i="4"/>
  <c r="K43" i="4"/>
  <c r="K17" i="4"/>
  <c r="K5" i="4"/>
  <c r="K52" i="4"/>
  <c r="K39" i="4"/>
  <c r="K27" i="4"/>
  <c r="K30" i="4"/>
  <c r="K18" i="4"/>
  <c r="K26" i="4"/>
  <c r="K45" i="4"/>
  <c r="K40" i="4"/>
  <c r="K28" i="4"/>
  <c r="K16" i="4"/>
  <c r="K4" i="4"/>
  <c r="K14" i="4"/>
  <c r="K50" i="4"/>
  <c r="K25" i="4"/>
  <c r="K48" i="4"/>
  <c r="K24" i="4"/>
  <c r="K12" i="4"/>
  <c r="K51" i="4"/>
  <c r="K37" i="4"/>
  <c r="K13" i="4"/>
  <c r="K47" i="4"/>
  <c r="K35" i="4"/>
  <c r="K11" i="4"/>
  <c r="K38" i="4"/>
  <c r="K46" i="4"/>
  <c r="K34" i="4"/>
  <c r="K22" i="4"/>
  <c r="K10" i="4"/>
  <c r="K21" i="4"/>
  <c r="K9" i="4"/>
  <c r="K6" i="4"/>
  <c r="K8" i="4"/>
  <c r="K7" i="4"/>
  <c r="C9" i="2"/>
  <c r="C8" i="2"/>
  <c r="C3" i="2"/>
  <c r="C4" i="2"/>
  <c r="C2" i="2"/>
  <c r="F2" i="2" s="1"/>
  <c r="M2" i="2" l="1"/>
  <c r="A3" i="2"/>
  <c r="K3" i="2" l="1"/>
  <c r="F3" i="2"/>
  <c r="M3" i="2"/>
  <c r="A4" i="2"/>
  <c r="A5" i="2" s="1"/>
  <c r="M5" i="2" l="1"/>
  <c r="K5" i="2"/>
  <c r="A6" i="2"/>
  <c r="A7" i="2" s="1"/>
  <c r="A8" i="2" s="1"/>
  <c r="A9" i="2" s="1"/>
  <c r="H5" i="2"/>
  <c r="G5" i="2"/>
  <c r="F5" i="2"/>
  <c r="I5" i="2"/>
  <c r="F4" i="2"/>
  <c r="K4" i="2"/>
  <c r="M4" i="2"/>
  <c r="F6" i="2"/>
  <c r="M6" i="2" l="1"/>
  <c r="F7" i="2"/>
  <c r="M7" i="2" l="1"/>
  <c r="H2" i="2"/>
  <c r="I2" i="2"/>
  <c r="G2" i="2"/>
  <c r="K8" i="2" l="1"/>
  <c r="F8" i="2"/>
  <c r="M8" i="2"/>
  <c r="G8" i="2"/>
  <c r="H8" i="2"/>
  <c r="I8" i="2"/>
  <c r="K9" i="2" l="1"/>
  <c r="F9" i="2"/>
  <c r="A10" i="2"/>
  <c r="F10" i="2" s="1"/>
  <c r="M9" i="2"/>
  <c r="A11" i="2" l="1"/>
  <c r="F11" i="2" s="1"/>
  <c r="G10" i="2"/>
  <c r="H10" i="2"/>
  <c r="I10" i="2"/>
  <c r="M10" i="2"/>
  <c r="I11" i="2" l="1"/>
  <c r="A12" i="2"/>
  <c r="M12" i="2" s="1"/>
  <c r="G11" i="2"/>
  <c r="M11" i="2"/>
  <c r="H11" i="2"/>
  <c r="K12" i="2" l="1"/>
  <c r="F12" i="2"/>
  <c r="A13" i="2"/>
  <c r="H12" i="2"/>
  <c r="I12" i="2"/>
  <c r="G12" i="2"/>
  <c r="K13" i="2" l="1"/>
  <c r="F13" i="2"/>
  <c r="H13" i="2"/>
  <c r="O8" i="2"/>
  <c r="P8" i="2" s="1"/>
  <c r="G13" i="2"/>
  <c r="I13" i="2"/>
  <c r="A14" i="2"/>
  <c r="F14" i="2" s="1"/>
  <c r="M13" i="2"/>
  <c r="A15" i="2" l="1"/>
  <c r="F15" i="2" s="1"/>
  <c r="O3" i="2"/>
  <c r="P3" i="2" s="1"/>
  <c r="M14" i="2"/>
  <c r="I14" i="2"/>
  <c r="H14" i="2"/>
  <c r="G14" i="2"/>
  <c r="M15" i="2" l="1"/>
  <c r="A16" i="2"/>
  <c r="F16" i="2" s="1"/>
  <c r="I15" i="2"/>
  <c r="G15" i="2"/>
  <c r="H15" i="2"/>
  <c r="M16" i="2" l="1"/>
  <c r="A17" i="2"/>
  <c r="F17" i="2" s="1"/>
  <c r="H16" i="2"/>
  <c r="I16" i="2"/>
  <c r="G16" i="2"/>
  <c r="M17" i="2" l="1"/>
  <c r="H17" i="2"/>
  <c r="I17" i="2"/>
  <c r="A18" i="2"/>
  <c r="F18" i="2" s="1"/>
  <c r="G17" i="2"/>
  <c r="H3" i="2"/>
  <c r="I3" i="2"/>
  <c r="G3" i="2"/>
  <c r="M18" i="2" l="1"/>
  <c r="H18" i="2"/>
  <c r="I18" i="2"/>
  <c r="A19" i="2"/>
  <c r="F19" i="2" s="1"/>
  <c r="G18" i="2"/>
  <c r="M19" i="2" l="1"/>
  <c r="A20" i="2"/>
  <c r="F20" i="2" s="1"/>
  <c r="H19" i="2"/>
  <c r="I19" i="2"/>
  <c r="G19" i="2"/>
  <c r="M20" i="2" l="1"/>
  <c r="H20" i="2"/>
  <c r="G20" i="2"/>
  <c r="A21" i="2"/>
  <c r="F21" i="2" s="1"/>
  <c r="I20" i="2"/>
  <c r="M21" i="2" l="1"/>
  <c r="I21" i="2"/>
  <c r="H21" i="2"/>
  <c r="A22" i="2"/>
  <c r="F22" i="2" s="1"/>
  <c r="G21" i="2"/>
  <c r="M22" i="2" l="1"/>
  <c r="A23" i="2"/>
  <c r="H22" i="2"/>
  <c r="I22" i="2"/>
  <c r="G22" i="2"/>
  <c r="K23" i="2" l="1"/>
  <c r="F23" i="2"/>
  <c r="M23" i="2"/>
  <c r="A24" i="2"/>
  <c r="F24" i="2" s="1"/>
  <c r="G23" i="2"/>
  <c r="I23" i="2"/>
  <c r="H23" i="2"/>
  <c r="I24" i="2" l="1"/>
  <c r="M24" i="2"/>
  <c r="O4" i="2"/>
  <c r="P4" i="2" s="1"/>
  <c r="H24" i="2"/>
  <c r="A25" i="2"/>
  <c r="F25" i="2" s="1"/>
  <c r="G24" i="2"/>
  <c r="M25" i="2" l="1"/>
  <c r="A26" i="2"/>
  <c r="F26" i="2" s="1"/>
  <c r="G25" i="2"/>
  <c r="H25" i="2"/>
  <c r="I25" i="2"/>
  <c r="M26" i="2" l="1"/>
  <c r="G26" i="2"/>
  <c r="A27" i="2"/>
  <c r="F27" i="2" s="1"/>
  <c r="I26" i="2"/>
  <c r="H26" i="2"/>
  <c r="M27" i="2" l="1"/>
  <c r="H27" i="2"/>
  <c r="A28" i="2"/>
  <c r="F28" i="2" s="1"/>
  <c r="G27" i="2"/>
  <c r="I27" i="2"/>
  <c r="I4" i="2"/>
  <c r="H4" i="2"/>
  <c r="G4" i="2"/>
  <c r="M28" i="2" l="1"/>
  <c r="A29" i="2"/>
  <c r="F29" i="2" s="1"/>
  <c r="I28" i="2"/>
  <c r="G28" i="2"/>
  <c r="H28" i="2"/>
  <c r="M29" i="2" l="1"/>
  <c r="H29" i="2"/>
  <c r="G29" i="2"/>
  <c r="I29" i="2"/>
  <c r="A30" i="2"/>
  <c r="F30" i="2" s="1"/>
  <c r="I6" i="2"/>
  <c r="H6" i="2"/>
  <c r="G6" i="2"/>
  <c r="M30" i="2" l="1"/>
  <c r="A31" i="2"/>
  <c r="F31" i="2" s="1"/>
  <c r="I30" i="2"/>
  <c r="G30" i="2"/>
  <c r="H30" i="2"/>
  <c r="I7" i="2"/>
  <c r="H7" i="2"/>
  <c r="G7" i="2"/>
  <c r="M31" i="2" l="1"/>
  <c r="A32" i="2"/>
  <c r="F32" i="2" s="1"/>
  <c r="H31" i="2"/>
  <c r="G31" i="2"/>
  <c r="I31" i="2"/>
  <c r="I9" i="2"/>
  <c r="H9" i="2"/>
  <c r="G9" i="2"/>
  <c r="M32" i="2" l="1"/>
  <c r="A33" i="2"/>
  <c r="G32" i="2"/>
  <c r="I32" i="2"/>
  <c r="H32" i="2"/>
  <c r="F33" i="2" l="1"/>
  <c r="K33" i="2"/>
  <c r="M33" i="2"/>
  <c r="G33" i="2"/>
  <c r="A34" i="2"/>
  <c r="I33" i="2"/>
  <c r="H33" i="2"/>
  <c r="F34" i="2" l="1"/>
  <c r="K34" i="2"/>
  <c r="G34" i="2"/>
  <c r="I34" i="2"/>
  <c r="O5" i="2"/>
  <c r="P5" i="2" s="1"/>
  <c r="M34" i="2"/>
  <c r="A35" i="2"/>
  <c r="H34" i="2"/>
  <c r="K35" i="2" l="1"/>
  <c r="F35" i="2"/>
  <c r="M35" i="2"/>
  <c r="A36" i="2"/>
  <c r="G35" i="2"/>
  <c r="H35" i="2"/>
  <c r="I35" i="2"/>
  <c r="K36" i="2" l="1"/>
  <c r="F36" i="2"/>
  <c r="M36" i="2"/>
  <c r="H36" i="2"/>
  <c r="I36" i="2"/>
  <c r="G36" i="2"/>
  <c r="A37" i="2"/>
  <c r="F37" i="2" s="1"/>
  <c r="G37" i="2" l="1"/>
  <c r="H37" i="2"/>
  <c r="I37" i="2"/>
  <c r="M37" i="2"/>
  <c r="O6" i="2"/>
  <c r="P6" i="2" s="1"/>
  <c r="A38" i="2"/>
  <c r="F38" i="2" s="1"/>
  <c r="M38" i="2" l="1"/>
  <c r="H38" i="2"/>
  <c r="G38" i="2"/>
  <c r="I38" i="2"/>
  <c r="A39" i="2"/>
  <c r="F39" i="2" s="1"/>
  <c r="M39" i="2" l="1"/>
  <c r="A40" i="2"/>
  <c r="F40" i="2" s="1"/>
  <c r="H39" i="2"/>
  <c r="I39" i="2"/>
  <c r="G39" i="2"/>
  <c r="M40" i="2" l="1"/>
  <c r="I40" i="2"/>
  <c r="G40" i="2"/>
  <c r="A41" i="2"/>
  <c r="F41" i="2" s="1"/>
  <c r="H40" i="2"/>
  <c r="M41" i="2" l="1"/>
  <c r="A42" i="2"/>
  <c r="F42" i="2" s="1"/>
  <c r="H41" i="2"/>
  <c r="G41" i="2"/>
  <c r="I41" i="2"/>
  <c r="M42" i="2" l="1"/>
  <c r="H42" i="2"/>
  <c r="I42" i="2"/>
  <c r="A43" i="2"/>
  <c r="G42" i="2"/>
  <c r="A3" i="1"/>
  <c r="G3" i="1" l="1"/>
  <c r="J3" i="1" s="1"/>
  <c r="L3" i="1" s="1"/>
  <c r="A4" i="1"/>
  <c r="K43" i="2"/>
  <c r="F43" i="2"/>
  <c r="M43" i="2"/>
  <c r="I43" i="2"/>
  <c r="A44" i="2"/>
  <c r="G43" i="2"/>
  <c r="H43" i="2"/>
  <c r="A5" i="1" l="1"/>
  <c r="G4" i="1"/>
  <c r="K44" i="2"/>
  <c r="F44" i="2"/>
  <c r="M44" i="2"/>
  <c r="I44" i="2"/>
  <c r="A45" i="2"/>
  <c r="H44" i="2"/>
  <c r="G44" i="2"/>
  <c r="J4" i="1" l="1"/>
  <c r="L4" i="1" s="1"/>
  <c r="A6" i="1"/>
  <c r="G5" i="1"/>
  <c r="J5" i="1" s="1"/>
  <c r="L5" i="1" s="1"/>
  <c r="K45" i="2"/>
  <c r="F45" i="2"/>
  <c r="H45" i="2"/>
  <c r="M45" i="2"/>
  <c r="I45" i="2"/>
  <c r="G45" i="2"/>
  <c r="A46" i="2"/>
  <c r="O7" i="2"/>
  <c r="P7" i="2" s="1"/>
  <c r="G6" i="1" l="1"/>
  <c r="J6" i="1" s="1"/>
  <c r="L6" i="1" s="1"/>
  <c r="A7" i="1"/>
  <c r="A8" i="1" s="1"/>
  <c r="A9" i="1" s="1"/>
  <c r="A10" i="1" s="1"/>
  <c r="A11" i="1" s="1"/>
  <c r="A12" i="1" s="1"/>
  <c r="F46" i="2"/>
  <c r="K46" i="2"/>
  <c r="M46" i="2"/>
  <c r="A47" i="2"/>
  <c r="G46" i="2"/>
  <c r="I46" i="2"/>
  <c r="H46" i="2"/>
  <c r="A13" i="1" l="1"/>
  <c r="G12" i="1"/>
  <c r="J12" i="1" s="1"/>
  <c r="L12" i="1" s="1"/>
  <c r="L73" i="1"/>
  <c r="K47" i="2"/>
  <c r="F47" i="2"/>
  <c r="M47" i="2"/>
  <c r="A48" i="2"/>
  <c r="I47" i="2"/>
  <c r="H47" i="2"/>
  <c r="G47" i="2"/>
  <c r="A14" i="1" l="1"/>
  <c r="G13" i="1"/>
  <c r="J13" i="1" s="1"/>
  <c r="L13" i="1" s="1"/>
  <c r="K48" i="2"/>
  <c r="F48" i="2"/>
  <c r="M48" i="2"/>
  <c r="A49" i="2"/>
  <c r="H48" i="2"/>
  <c r="G48" i="2"/>
  <c r="I48" i="2"/>
  <c r="A15" i="1" l="1"/>
  <c r="G14" i="1"/>
  <c r="J14" i="1" s="1"/>
  <c r="L14" i="1" s="1"/>
  <c r="K49" i="2"/>
  <c r="F49" i="2"/>
  <c r="M49" i="2"/>
  <c r="A50" i="2"/>
  <c r="I49" i="2"/>
  <c r="G49" i="2"/>
  <c r="H49" i="2"/>
  <c r="A16" i="1" l="1"/>
  <c r="G15" i="1"/>
  <c r="J15" i="1" s="1"/>
  <c r="L15" i="1" s="1"/>
  <c r="K50" i="2"/>
  <c r="F50" i="2"/>
  <c r="M50" i="2"/>
  <c r="H50" i="2"/>
  <c r="I50" i="2"/>
  <c r="A51" i="2"/>
  <c r="G50" i="2"/>
  <c r="A17" i="1" l="1"/>
  <c r="G16" i="1"/>
  <c r="J16" i="1" s="1"/>
  <c r="L16" i="1" s="1"/>
  <c r="K51" i="2"/>
  <c r="F51" i="2"/>
  <c r="M51" i="2"/>
  <c r="G51" i="2"/>
  <c r="I51" i="2"/>
  <c r="H51" i="2"/>
  <c r="A52" i="2"/>
  <c r="A18" i="1" l="1"/>
  <c r="G17" i="1"/>
  <c r="J17" i="1" s="1"/>
  <c r="L17" i="1" s="1"/>
  <c r="K52" i="2"/>
  <c r="F52" i="2"/>
  <c r="M52" i="2"/>
  <c r="H52" i="2"/>
  <c r="G52" i="2"/>
  <c r="I52" i="2"/>
  <c r="A19" i="1" l="1"/>
  <c r="G18" i="1"/>
  <c r="J18" i="1" s="1"/>
  <c r="L18" i="1" s="1"/>
  <c r="A20" i="1" l="1"/>
  <c r="G19" i="1"/>
  <c r="J19" i="1" s="1"/>
  <c r="L19" i="1" s="1"/>
  <c r="A21" i="1" l="1"/>
  <c r="G20" i="1"/>
  <c r="J20" i="1" s="1"/>
  <c r="L20" i="1" s="1"/>
  <c r="A22" i="1" l="1"/>
  <c r="G21" i="1"/>
  <c r="J21" i="1" s="1"/>
  <c r="L21" i="1" s="1"/>
  <c r="A23" i="1" l="1"/>
  <c r="G22" i="1"/>
  <c r="J22" i="1" s="1"/>
  <c r="L22" i="1" s="1"/>
  <c r="A24" i="1" l="1"/>
  <c r="G23" i="1"/>
  <c r="J23" i="1" s="1"/>
  <c r="L23" i="1" s="1"/>
  <c r="A25" i="1" l="1"/>
  <c r="G24" i="1"/>
  <c r="J24" i="1" s="1"/>
  <c r="L24" i="1" s="1"/>
  <c r="A26" i="1" l="1"/>
  <c r="G25" i="1"/>
  <c r="J25" i="1" s="1"/>
  <c r="L25" i="1" s="1"/>
  <c r="A27" i="1" l="1"/>
  <c r="G26" i="1"/>
  <c r="J26" i="1" s="1"/>
  <c r="L26" i="1" s="1"/>
  <c r="A28" i="1" l="1"/>
  <c r="A29" i="1" s="1"/>
  <c r="G27" i="1"/>
  <c r="J27" i="1" s="1"/>
  <c r="L27" i="1" s="1"/>
  <c r="A30" i="1" l="1"/>
  <c r="L74" i="1"/>
  <c r="G29" i="1"/>
  <c r="J29" i="1" s="1"/>
  <c r="L29" i="1" s="1"/>
  <c r="A31" i="1" l="1"/>
  <c r="G30" i="1"/>
  <c r="J30" i="1" s="1"/>
  <c r="L30" i="1" s="1"/>
  <c r="A32" i="1" l="1"/>
  <c r="G31" i="1"/>
  <c r="J31" i="1" s="1"/>
  <c r="L31" i="1" s="1"/>
  <c r="A33" i="1" l="1"/>
  <c r="G32" i="1"/>
  <c r="J32" i="1" s="1"/>
  <c r="L32" i="1" s="1"/>
  <c r="A34" i="1" l="1"/>
  <c r="G33" i="1"/>
  <c r="J33" i="1" s="1"/>
  <c r="L33" i="1" s="1"/>
  <c r="A35" i="1" l="1"/>
  <c r="G34" i="1"/>
  <c r="J34" i="1" s="1"/>
  <c r="L34" i="1" s="1"/>
  <c r="A36" i="1" l="1"/>
  <c r="G35" i="1"/>
  <c r="J35" i="1" s="1"/>
  <c r="L35" i="1" s="1"/>
  <c r="A37" i="1" l="1"/>
  <c r="G36" i="1"/>
  <c r="J36" i="1" s="1"/>
  <c r="L36" i="1" s="1"/>
  <c r="A38" i="1" l="1"/>
  <c r="G37" i="1"/>
  <c r="J37" i="1" s="1"/>
  <c r="L37" i="1" s="1"/>
  <c r="A39" i="1" l="1"/>
  <c r="G38" i="1"/>
  <c r="J38" i="1" s="1"/>
  <c r="L38" i="1" s="1"/>
  <c r="A40" i="1" l="1"/>
  <c r="G39" i="1"/>
  <c r="J39" i="1" s="1"/>
  <c r="L39" i="1" s="1"/>
  <c r="A41" i="1" l="1"/>
  <c r="G40" i="1"/>
  <c r="J40" i="1" s="1"/>
  <c r="L40" i="1" s="1"/>
  <c r="A42" i="1" l="1"/>
  <c r="G41" i="1"/>
  <c r="J41" i="1" s="1"/>
  <c r="L41" i="1" s="1"/>
  <c r="A43" i="1" l="1"/>
  <c r="G42" i="1"/>
  <c r="J42" i="1" s="1"/>
  <c r="L42" i="1" s="1"/>
  <c r="A44" i="1" l="1"/>
  <c r="G43" i="1"/>
  <c r="J43" i="1" s="1"/>
  <c r="L43" i="1" s="1"/>
  <c r="A45" i="1" l="1"/>
  <c r="A46" i="1" s="1"/>
  <c r="G44" i="1"/>
  <c r="J44" i="1" s="1"/>
  <c r="L44" i="1" s="1"/>
  <c r="A47" i="1" l="1"/>
  <c r="G46" i="1"/>
  <c r="J46" i="1" s="1"/>
  <c r="L46" i="1" s="1"/>
  <c r="L75" i="1"/>
  <c r="A48" i="1" l="1"/>
  <c r="G47" i="1"/>
  <c r="J47" i="1" s="1"/>
  <c r="L47" i="1" s="1"/>
  <c r="A49" i="1" l="1"/>
  <c r="G48" i="1"/>
  <c r="J48" i="1" s="1"/>
  <c r="L48" i="1" s="1"/>
  <c r="A50" i="1" l="1"/>
  <c r="G49" i="1"/>
  <c r="J49" i="1" s="1"/>
  <c r="L49" i="1" s="1"/>
  <c r="A51" i="1" l="1"/>
  <c r="G50" i="1"/>
  <c r="J50" i="1" s="1"/>
  <c r="L50" i="1" s="1"/>
  <c r="A52" i="1" l="1"/>
  <c r="G51" i="1"/>
  <c r="J51" i="1" s="1"/>
  <c r="L51" i="1" s="1"/>
  <c r="A53" i="1" l="1"/>
  <c r="G52" i="1"/>
  <c r="J52" i="1" l="1"/>
  <c r="L52" i="1" s="1"/>
  <c r="A54" i="1"/>
  <c r="G53" i="1"/>
  <c r="J53" i="1" s="1"/>
  <c r="L53" i="1" s="1"/>
  <c r="A55" i="1" l="1"/>
  <c r="G54" i="1"/>
  <c r="J54" i="1" s="1"/>
  <c r="L54" i="1" s="1"/>
  <c r="A56" i="1" l="1"/>
  <c r="G55" i="1"/>
  <c r="J55" i="1" s="1"/>
  <c r="L55" i="1" s="1"/>
  <c r="A57" i="1" l="1"/>
  <c r="G56" i="1"/>
  <c r="J56" i="1" s="1"/>
  <c r="L56" i="1" s="1"/>
  <c r="A58" i="1" l="1"/>
  <c r="G57" i="1"/>
  <c r="J57" i="1" s="1"/>
  <c r="L57" i="1" s="1"/>
  <c r="A59" i="1" l="1"/>
  <c r="G58" i="1"/>
  <c r="J58" i="1" s="1"/>
  <c r="L58" i="1" s="1"/>
  <c r="A60" i="1" l="1"/>
  <c r="G59" i="1"/>
  <c r="J59" i="1" s="1"/>
  <c r="L59" i="1" s="1"/>
  <c r="A61" i="1" l="1"/>
  <c r="G60" i="1"/>
  <c r="J60" i="1" s="1"/>
  <c r="L60" i="1" s="1"/>
  <c r="A62" i="1" l="1"/>
  <c r="A63" i="1" s="1"/>
  <c r="G61" i="1"/>
  <c r="J61" i="1" s="1"/>
  <c r="L61" i="1" s="1"/>
  <c r="A64" i="1" l="1"/>
  <c r="G63" i="1"/>
  <c r="J63" i="1" s="1"/>
  <c r="L63" i="1" s="1"/>
  <c r="L76" i="1"/>
  <c r="A65" i="1" l="1"/>
  <c r="G64" i="1"/>
  <c r="J64" i="1" s="1"/>
  <c r="L64" i="1" s="1"/>
  <c r="L77" i="1"/>
  <c r="A66" i="1" l="1"/>
  <c r="G65" i="1"/>
  <c r="J65" i="1" s="1"/>
  <c r="L65" i="1" s="1"/>
  <c r="A67" i="1" l="1"/>
  <c r="L79" i="1"/>
  <c r="G66" i="1"/>
  <c r="J66" i="1" s="1"/>
  <c r="L66" i="1" s="1"/>
  <c r="A68" i="1" l="1"/>
  <c r="L80" i="1"/>
  <c r="G67" i="1"/>
  <c r="J67" i="1" s="1"/>
  <c r="L67" i="1" s="1"/>
  <c r="A69" i="1" l="1"/>
  <c r="L81" i="1"/>
  <c r="G68" i="1"/>
  <c r="J68" i="1" s="1"/>
  <c r="L68" i="1" s="1"/>
  <c r="A70" i="1" l="1"/>
  <c r="G70" i="1" s="1"/>
  <c r="J70" i="1" s="1"/>
  <c r="L70" i="1" s="1"/>
  <c r="L82" i="1"/>
  <c r="G69" i="1"/>
  <c r="J69" i="1" s="1"/>
  <c r="L69" i="1" s="1"/>
</calcChain>
</file>

<file path=xl/sharedStrings.xml><?xml version="1.0" encoding="utf-8"?>
<sst xmlns="http://schemas.openxmlformats.org/spreadsheetml/2006/main" count="657" uniqueCount="240">
  <si>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</si>
  <si>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</si>
  <si>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</si>
  <si>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</si>
  <si>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</si>
  <si>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</si>
  <si>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</si>
  <si>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</si>
  <si>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</si>
  <si>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</si>
  <si>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</si>
  <si>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</si>
  <si>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</si>
  <si>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</si>
  <si>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Upper Base</t>
  </si>
  <si>
    <t>Lower Base</t>
  </si>
  <si>
    <t>Pedal Base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</si>
  <si>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</si>
  <si>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</si>
  <si>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</si>
  <si>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</si>
  <si>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</si>
  <si>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</si>
  <si>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</si>
  <si>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</si>
  <si>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</si>
  <si>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drv_custom</t>
  </si>
  <si>
    <t>Name</t>
  </si>
  <si>
    <t>Menu Entry String (max. 15 Chars)</t>
  </si>
  <si>
    <t>Velocity MaxAdj</t>
  </si>
  <si>
    <t>Keyboard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</si>
  <si>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</si>
  <si>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</si>
  <si>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</si>
  <si>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</si>
  <si>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</si>
  <si>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</si>
  <si>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</si>
  <si>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</si>
  <si>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</si>
  <si>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</si>
  <si>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</si>
  <si>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</si>
  <si>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</si>
  <si>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</si>
  <si>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</si>
  <si>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</si>
  <si>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</si>
  <si>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</si>
  <si>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</si>
  <si>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</si>
  <si>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</si>
  <si>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</si>
  <si>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</si>
  <si>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</si>
  <si>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</si>
  <si>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</si>
  <si>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</si>
  <si>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</si>
  <si>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</si>
  <si>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</si>
  <si>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</si>
  <si>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</si>
  <si>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</si>
  <si>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</si>
  <si>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</si>
  <si>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</si>
  <si>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</si>
  <si>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</si>
  <si>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</si>
  <si>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</si>
  <si>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</si>
  <si>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</si>
  <si>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</si>
  <si>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</si>
  <si>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</si>
  <si>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</si>
  <si>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Pitchwheel Pot</t>
  </si>
  <si>
    <t>(Keyboard)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</si>
  <si>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</si>
  <si>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</si>
  <si>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</si>
  <si>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</si>
  <si>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</si>
  <si>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</si>
  <si>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</si>
  <si>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</si>
  <si>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</si>
  <si>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</si>
  <si>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</si>
  <si>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</si>
  <si>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</si>
  <si>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</si>
  <si>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</si>
  <si>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</si>
  <si>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</si>
  <si>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</si>
  <si>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</si>
  <si>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</si>
  <si>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</si>
  <si>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</si>
  <si>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</si>
  <si>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</si>
  <si>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</si>
  <si>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</si>
  <si>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</si>
  <si>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</si>
  <si>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</si>
  <si>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Load SD Scan</t>
  </si>
  <si>
    <t>Flash SD Scan</t>
  </si>
  <si>
    <t>Flash FPGA</t>
  </si>
  <si>
    <t>Reload FPGA</t>
  </si>
  <si>
    <t>Test</t>
  </si>
  <si>
    <t>Flash Other</t>
  </si>
  <si>
    <t>SD Flash Tools</t>
  </si>
  <si>
    <t>NULL</t>
  </si>
  <si>
    <t>&amp;drawbars.upper[0]</t>
  </si>
  <si>
    <t>&amp;drawbars.upper[1]</t>
  </si>
  <si>
    <t>&amp;drawbars.upper[2]</t>
  </si>
  <si>
    <t>&amp;drawbars.upper[3]</t>
  </si>
  <si>
    <t>&amp;drawbars.upper[4]</t>
  </si>
  <si>
    <t>&amp;drawbars.upper[5]</t>
  </si>
  <si>
    <t>&amp;drawbars.upper[6]</t>
  </si>
  <si>
    <t>&amp;drawbars.upper[7]</t>
  </si>
  <si>
    <t>&amp;drawbars.upper[8]</t>
  </si>
  <si>
    <t>&amp;drawbars.lower[0]</t>
  </si>
  <si>
    <t>&amp;drawbars.lower[1]</t>
  </si>
  <si>
    <t>&amp;drawbars.lower[2]</t>
  </si>
  <si>
    <t>&amp;drawbars.lower[3]</t>
  </si>
  <si>
    <t>&amp;drawbars.lower[4]</t>
  </si>
  <si>
    <t>&amp;drawbars.lower[5]</t>
  </si>
  <si>
    <t>&amp;drawbars.lower[6]</t>
  </si>
  <si>
    <t>&amp;drawbars.lower[7]</t>
  </si>
  <si>
    <t>&amp;drawbars.lower[8]</t>
  </si>
  <si>
    <t>&amp;drawbars.pedal[0]</t>
  </si>
  <si>
    <t>&amp;drawbars.pedal[1]</t>
  </si>
  <si>
    <t>Zuweisung Action-Routine (ohne Parameterübergabe!)</t>
  </si>
  <si>
    <t>setOrganVolumes</t>
  </si>
  <si>
    <t>fpga_send_upper_db</t>
  </si>
  <si>
    <t>fpga_send_lower_db</t>
  </si>
  <si>
    <t>const action EditActions[MENU_ITEMCOUNT] = {</t>
  </si>
  <si>
    <t>loadScanDriver</t>
  </si>
  <si>
    <t>flashScanDriver</t>
  </si>
  <si>
    <t>flashFPGA</t>
  </si>
  <si>
    <t>flashOther</t>
  </si>
  <si>
    <t>organReset</t>
  </si>
  <si>
    <t>SD Card Info</t>
  </si>
  <si>
    <t>sdCardInfo</t>
  </si>
  <si>
    <t>setAmpVolume</t>
  </si>
  <si>
    <t>Organ Model</t>
  </si>
  <si>
    <t>menuOrganModel</t>
  </si>
  <si>
    <t>Speaker Model</t>
  </si>
  <si>
    <t>menuSpeakerModel</t>
  </si>
  <si>
    <t>m_upper_db_16</t>
  </si>
  <si>
    <t>m_lower_db_16</t>
  </si>
  <si>
    <t>m_pedal_db_16</t>
  </si>
  <si>
    <t>m_sd_card_info</t>
  </si>
  <si>
    <t>m_kbd_driver</t>
  </si>
  <si>
    <t>MenuLink-Konstanten für Submenus</t>
  </si>
  <si>
    <t>zeigt auf</t>
  </si>
  <si>
    <t>C++</t>
  </si>
  <si>
    <t>&amp;preamp.masterVolume</t>
  </si>
  <si>
    <t>&amp;preamp.ampVolume</t>
  </si>
  <si>
    <t>uint8_t * EditValuePtrs[MENU_ITEMCOUNT] = {</t>
  </si>
  <si>
    <t>m_main_end</t>
  </si>
  <si>
    <t>m_menu_end</t>
  </si>
  <si>
    <t>Zuweisung Edit-Variable</t>
  </si>
  <si>
    <t>&amp;boardInfo.scan_driverIdx</t>
  </si>
  <si>
    <t>&amp;midiSettings.channelLower</t>
  </si>
  <si>
    <t>&amp;midiSettings.channelPedal</t>
  </si>
  <si>
    <t>&amp;organModel.fatarVelocityFac</t>
  </si>
  <si>
    <t>&amp;midiSettings.channel</t>
  </si>
  <si>
    <t>&amp;tabs.organModel</t>
  </si>
  <si>
    <t>&amp;tabs.speakerModel</t>
  </si>
  <si>
    <t>Swell Pedal</t>
  </si>
  <si>
    <t>preamp.masterVolume</t>
  </si>
  <si>
    <t>tabs.organModel</t>
  </si>
  <si>
    <t>drawbars.upper[0]</t>
  </si>
  <si>
    <t>tabs.speakerModel</t>
  </si>
  <si>
    <t>drawbars.upper[1]</t>
  </si>
  <si>
    <t>drawbars.upper[2]</t>
  </si>
  <si>
    <t>drawbars.upper[3]</t>
  </si>
  <si>
    <t>drawbars.upper[4]</t>
  </si>
  <si>
    <t>drawbars.upper[5]</t>
  </si>
  <si>
    <t>drawbars.upper[6]</t>
  </si>
  <si>
    <t>drawbars.upper[7]</t>
  </si>
  <si>
    <t>drawbars.upper[8]</t>
  </si>
  <si>
    <t>drawbars.lower[0]</t>
  </si>
  <si>
    <t>drawbars.lower[1]</t>
  </si>
  <si>
    <t>drawbars.lower[2]</t>
  </si>
  <si>
    <t>drawbars.lower[3]</t>
  </si>
  <si>
    <t>drawbars.lower[4]</t>
  </si>
  <si>
    <t>drawbars.lower[5]</t>
  </si>
  <si>
    <t>drawbars.lower[6]</t>
  </si>
  <si>
    <t>drawbars.lower[7]</t>
  </si>
  <si>
    <t>drawbars.lower[8]</t>
  </si>
  <si>
    <t>drawbars.pedal[0]</t>
  </si>
  <si>
    <t>drawbars.pedal[1]</t>
  </si>
  <si>
    <t>boardInfo.scan_driverIdx</t>
  </si>
  <si>
    <t>organModel.fatarVelocityFac</t>
  </si>
  <si>
    <t>midiSettings.channel</t>
  </si>
  <si>
    <t>Variablen-Pointer</t>
  </si>
  <si>
    <t>Action-Pointer</t>
  </si>
  <si>
    <t xml:space="preserve">const menuEntryType MenuItems[MENU_ITEMCOUNT] PROGMEM = { </t>
  </si>
  <si>
    <t>Menu-Text</t>
  </si>
  <si>
    <t>sendAmpVolume</t>
  </si>
  <si>
    <t>preamp.ampGain</t>
  </si>
  <si>
    <t>sendOrganVolumes</t>
  </si>
  <si>
    <t>m_upper_db</t>
  </si>
  <si>
    <t>m_lower_db</t>
  </si>
  <si>
    <t>m_pedal_db</t>
  </si>
  <si>
    <t>m_sd_card</t>
  </si>
  <si>
    <t>m_swell</t>
  </si>
  <si>
    <t>m_volume</t>
  </si>
  <si>
    <t>m_gain</t>
  </si>
  <si>
    <t>m_organ</t>
  </si>
  <si>
    <t>m_speaker</t>
  </si>
  <si>
    <t>m_pitchwheel</t>
  </si>
  <si>
    <t>}; // alle vorhandenen Menü-Links</t>
  </si>
  <si>
    <t>&lt;ENTER&gt; angezeigt, Action wird nach Bestätigung ausgeführt</t>
  </si>
  <si>
    <t>Enter oder Exit Submenu</t>
  </si>
  <si>
    <t>m_menuName</t>
  </si>
  <si>
    <t>Display-Text</t>
  </si>
  <si>
    <t>lfdNr.</t>
  </si>
  <si>
    <t>MIDI Channel</t>
  </si>
  <si>
    <t>preamp.swell127</t>
  </si>
  <si>
    <t>sendMIDIswell</t>
  </si>
  <si>
    <t>m_upper_ch</t>
  </si>
  <si>
    <t>m_lower_ch</t>
  </si>
  <si>
    <t>m_pedal_ch</t>
  </si>
  <si>
    <t>m_mod_pot</t>
  </si>
  <si>
    <t>m_pot_assign</t>
  </si>
  <si>
    <t>m_btn_assign</t>
  </si>
  <si>
    <t>m_btn_mode</t>
  </si>
  <si>
    <t>Pot CC</t>
  </si>
  <si>
    <t>Btn CC</t>
  </si>
  <si>
    <t>Btn Mode</t>
  </si>
  <si>
    <t>#define MENU_MAX_DYNADJ 63</t>
  </si>
  <si>
    <t>setKbdDriver</t>
  </si>
  <si>
    <t>const int8_t MenuDefaults[MENU_ITEMCOUNT] = {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</si>
</sst>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8" tint="-0.249977111117893"/>
      <name val="Lucida Console"/>
      <family val="3"/>
    </font>
    <font>
      <b/>
      <sz val="11"/>
      <color indexed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0"/>
      <color theme="1" tint="0.499984740745262"/>
      <name val="Arial Narrow"/>
      <family val="2"/>
    </font>
    <font>
      <b/>
      <sz val="1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0" fillId="2" borderId="0" xfId="0" applyNumberFormat="1" applyFont="1" applyFill="1" applyAlignment="1">
      <alignment horizontal="left" vertical="top" wrapText="1"/>
    </xf>
    <xf numFmtId="49" fontId="11" fillId="2" borderId="0" xfId="0" applyNumberFormat="1" applyFont="1" applyFill="1" applyAlignment="1">
      <alignment horizontal="left" vertical="top" wrapText="1"/>
    </xf>
    <xf numFmtId="49" fontId="4" fillId="0" borderId="0" xfId="0" applyNumberFormat="1" applyFont="1" applyFill="1" applyAlignment="1">
      <alignment horizontal="left" vertical="top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3" fillId="0" borderId="0" xfId="0" applyNumberFormat="1" applyFont="1" applyAlignment="1">
      <alignment horizontal="left"/>
    </xf>
    <xf numFmtId="0" fontId="13" fillId="0" borderId="0" xfId="0" applyFont="1" applyFill="1" applyAlignment="1">
      <alignment horizontal="left"/>
    </xf>
    <xf numFmtId="0" fontId="12" fillId="0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7" fillId="3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7" fillId="6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7" fillId="7" borderId="0" xfId="0" applyFont="1" applyFill="1" applyAlignment="1">
      <alignment horizontal="left"/>
    </xf>
    <xf numFmtId="0" fontId="12" fillId="0" borderId="0" xfId="0" applyFont="1" applyAlignment="1">
      <alignment vertical="center"/>
    </xf>
    <xf numFmtId="49" fontId="10" fillId="7" borderId="0" xfId="0" applyNumberFormat="1" applyFont="1" applyFill="1" applyAlignment="1">
      <alignment horizontal="left" vertical="top" wrapText="1"/>
    </xf>
    <xf numFmtId="0" fontId="13" fillId="0" borderId="0" xfId="0" applyFont="1" applyAlignment="1">
      <alignment vertical="center"/>
    </xf>
    <xf numFmtId="0" fontId="20" fillId="0" borderId="0" xfId="0" applyFont="1" applyFill="1" applyAlignment="1">
      <alignment horizontal="left"/>
    </xf>
    <xf numFmtId="0" fontId="19" fillId="0" borderId="0" xfId="0" applyFont="1" applyFill="1" applyAlignment="1">
      <alignment horizontal="left"/>
    </xf>
    <xf numFmtId="0" fontId="21" fillId="0" borderId="0" xfId="0" applyFont="1" applyFill="1" applyAlignment="1">
      <alignment horizontal="left"/>
    </xf>
    <xf numFmtId="0" fontId="22" fillId="0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4" fillId="0" borderId="0" xfId="0" applyFont="1" applyFill="1" applyAlignment="1">
      <alignment horizontal="left" vertical="top"/>
    </xf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0" fillId="2" borderId="0" xfId="0" applyNumberFormat="1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3" fillId="0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7" fillId="3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12" fillId="0" borderId="0" xfId="0" applyFont="1" applyAlignment="1">
      <alignment vertical="center"/>
    </xf>
    <xf numFmtId="49" fontId="10" fillId="7" borderId="0" xfId="0" applyNumberFormat="1" applyFont="1" applyFill="1" applyAlignment="1">
      <alignment horizontal="left" vertical="top" wrapText="1"/>
    </xf>
    <xf numFmtId="0" fontId="13" fillId="0" borderId="0" xfId="0" applyFont="1" applyAlignment="1">
      <alignment vertical="center"/>
    </xf>
    <xf numFmtId="0" fontId="5" fillId="4" borderId="0" xfId="0" applyFont="1" applyFill="1" applyAlignment="1">
      <alignment horizontal="left"/>
    </xf>
    <xf numFmtId="0" fontId="13" fillId="4" borderId="0" xfId="0" applyFont="1" applyFill="1" applyAlignment="1">
      <alignment horizontal="left"/>
    </xf>
    <xf numFmtId="0" fontId="16" fillId="4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49" fontId="24" fillId="10" borderId="0" xfId="0" applyNumberFormat="1" applyFont="1" applyFill="1" applyAlignment="1">
      <alignment horizontal="left" vertical="top" wrapText="1"/>
    </xf>
    <xf numFmtId="0" fontId="14" fillId="10" borderId="0" xfId="0" applyFont="1" applyFill="1" applyAlignment="1">
      <alignment horizontal="left"/>
    </xf>
    <xf numFmtId="0" fontId="23" fillId="10" borderId="0" xfId="0" applyFont="1" applyFill="1" applyAlignment="1">
      <alignment horizontal="left"/>
    </xf>
    <xf numFmtId="0" fontId="4" fillId="9" borderId="0" xfId="0" applyFont="1" applyFill="1" applyAlignment="1">
      <alignment horizontal="left"/>
    </xf>
    <xf numFmtId="0" fontId="5" fillId="9" borderId="0" xfId="0" applyFont="1" applyFill="1" applyAlignment="1">
      <alignment horizontal="left"/>
    </xf>
    <xf numFmtId="0" fontId="7" fillId="11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8" borderId="0" xfId="0" applyFont="1" applyFill="1" applyAlignment="1">
      <alignment horizontal="left"/>
    </xf>
    <xf numFmtId="0" fontId="7" fillId="8" borderId="0" xfId="0" applyFont="1" applyFill="1" applyAlignment="1">
      <alignment horizontal="left"/>
    </xf>
    <xf numFmtId="0" fontId="22" fillId="2" borderId="0" xfId="0" applyFont="1" applyFill="1" applyAlignment="1">
      <alignment horizontal="left" vertical="top"/>
    </xf>
    <xf numFmtId="0" fontId="0" fillId="9" borderId="0" xfId="0" applyFill="1" applyAlignment="1">
      <alignment horizontal="left"/>
    </xf>
    <xf numFmtId="49" fontId="25" fillId="0" borderId="0" xfId="0" applyNumberFormat="1" applyFont="1" applyFill="1" applyAlignment="1">
      <alignment horizontal="left" vertical="top"/>
    </xf>
    <xf numFmtId="0" fontId="26" fillId="0" borderId="0" xfId="0" applyFont="1" applyFill="1" applyAlignment="1">
      <alignment horizontal="left"/>
    </xf>
    <xf numFmtId="0" fontId="18" fillId="0" borderId="0" xfId="0" applyFont="1" applyFill="1" applyAlignment="1">
      <alignment horizontal="left"/>
    </xf>
    <xf numFmtId="0" fontId="17" fillId="0" borderId="0" xfId="0" applyFont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3" fillId="0" borderId="0" xfId="0" applyFont="1" applyFill="1" applyAlignment="1">
      <alignment horizontal="left" vertical="center"/>
    </xf>
    <xf numFmtId="0" fontId="27" fillId="11" borderId="0" xfId="0" applyFont="1" applyFill="1" applyAlignment="1">
      <alignment horizontal="left"/>
    </xf>
    <xf numFmtId="0" fontId="28" fillId="0" borderId="0" xfId="0" applyFont="1" applyFill="1" applyAlignment="1">
      <alignment horizontal="left"/>
    </xf>
    <xf numFmtId="0" fontId="27" fillId="4" borderId="0" xfId="0" applyFont="1" applyFill="1" applyAlignment="1">
      <alignment horizontal="left"/>
    </xf>
    <xf numFmtId="0" fontId="27" fillId="5" borderId="0" xfId="0" applyFont="1" applyFill="1" applyAlignment="1">
      <alignment horizontal="left"/>
    </xf>
    <xf numFmtId="0" fontId="6" fillId="9" borderId="0" xfId="0" applyFont="1" applyFill="1" applyAlignment="1">
      <alignment horizontal="left"/>
    </xf>
    <xf numFmtId="0" fontId="27" fillId="8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29" fillId="0" borderId="0" xfId="0" quotePrefix="1" applyFont="1" applyAlignment="1">
      <alignment vertical="center"/>
    </xf>
    <xf numFmtId="0" fontId="25" fillId="0" borderId="0" xfId="0" applyFont="1" applyFill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Fill="1" applyAlignment="1">
      <alignment horizontal="left"/>
    </xf>
    <xf numFmtId="49" fontId="32" fillId="0" borderId="0" xfId="0" applyNumberFormat="1" applyFont="1" applyFill="1" applyAlignment="1">
      <alignment horizontal="left" vertical="top" wrapText="1"/>
    </xf>
    <xf numFmtId="0" fontId="33" fillId="0" borderId="0" xfId="0" applyFont="1" applyFill="1" applyAlignment="1">
      <alignment horizontal="left"/>
    </xf>
    <xf numFmtId="0" fontId="32" fillId="0" borderId="0" xfId="0" applyFont="1" applyFill="1" applyAlignment="1">
      <alignment horizontal="left"/>
    </xf>
    <xf numFmtId="0" fontId="12" fillId="4" borderId="0" xfId="0" applyFont="1" applyFill="1" applyAlignment="1">
      <alignment vertical="center"/>
    </xf>
    <xf numFmtId="49" fontId="2" fillId="2" borderId="0" xfId="0" applyNumberFormat="1" applyFont="1" applyFill="1" applyAlignment="1">
      <alignment horizontal="left" vertical="top" wrapText="1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tabSelected="1" workbookViewId="0">
      <selection activeCell="L1" sqref="L1:L14"/>
    </sheetView>
  </sheetViews>
  <sheetFormatPr baseColWidth="10" defaultRowHeight="15" x14ac:dyDescent="0.25"/>
  <cols>
    <col min="1" max="1" width="6.28515625" style="98" customWidth="1"/>
    <col min="2" max="2" width="16.7109375" style="43" customWidth="1"/>
    <col min="3" max="3" width="15.5703125" style="38" customWidth="1"/>
    <col min="4" max="4" width="8.28515625" style="38" customWidth="1"/>
    <col min="5" max="5" width="12.5703125" style="38" customWidth="1"/>
    <col min="6" max="6" width="21.28515625" style="49" customWidth="1"/>
    <col min="7" max="7" width="22.140625" style="49" customWidth="1"/>
    <col min="8" max="8" width="21.28515625" style="43" customWidth="1"/>
    <col min="9" max="9" width="21.5703125" style="51" customWidth="1"/>
    <col min="10" max="10" width="23.140625" style="51" customWidth="1"/>
    <col min="11" max="11" width="94.28515625" style="43" customWidth="1"/>
    <col min="12" max="12" width="32.140625" style="48" customWidth="1"/>
    <col min="13" max="16384" width="11.42578125" style="48"/>
  </cols>
  <sheetData>
    <row r="1" spans="1:12" s="46" customFormat="1" ht="45.75" customHeight="1" x14ac:dyDescent="0.25">
      <c r="A1" s="96" t="s">
        <v>0</v>
      </c>
      <c r="B1" s="45" t="s">
        <v>28</v>
      </c>
      <c r="C1" s="79" t="s">
        <v>20</v>
      </c>
      <c r="D1" s="79" t="s">
        <v>21</v>
      </c>
      <c r="E1" s="79" t="s">
        <v>22</v>
      </c>
      <c r="F1" s="61" t="s">
        <v>166</v>
      </c>
      <c r="G1" s="61" t="s">
        <v>136</v>
      </c>
      <c r="H1" s="67" t="s">
        <v>204</v>
      </c>
      <c r="I1" s="67" t="s">
        <v>201</v>
      </c>
      <c r="J1" s="67" t="s">
        <v>202</v>
      </c>
      <c r="K1" s="47" t="s">
        <v>203</v>
      </c>
      <c r="L1" s="77" t="s">
        <v>17</v>
      </c>
    </row>
    <row r="2" spans="1:12" x14ac:dyDescent="0.25">
      <c r="A2" s="97">
        <v>0</v>
      </c>
      <c r="B2" s="73" t="s">
        <v>81</v>
      </c>
      <c r="C2" s="80" t="s">
        <v>208</v>
      </c>
      <c r="D2" s="38">
        <v>-1</v>
      </c>
      <c r="E2" s="81">
        <v>-1</v>
      </c>
      <c r="F2" s="52" t="s">
        <v>115</v>
      </c>
      <c r="G2" s="52" t="s">
        <v>115</v>
      </c>
      <c r="H2" s="68" t="str">
        <f>CONCATENATE("""",B2,""", ")</f>
        <v xml:space="preserve">"Upper DBs", </v>
      </c>
      <c r="I2" s="69" t="str">
        <f>IF(F2="NULL",CONCATENATE(F2,", "),CONCATENATE("&amp;",F2,", "))</f>
        <v xml:space="preserve">NULL, </v>
      </c>
      <c r="J2" s="69" t="str">
        <f>IF(G2="NULL",CONCATENATE(G2,", "),CONCATENATE("&amp;",G2,", "))</f>
        <v xml:space="preserve">NULL, </v>
      </c>
      <c r="K2" s="63" t="str">
        <f t="shared" ref="K2:K5" si="0">CONCATENATE("  {",H2,C2,", ",I2,J2,D2,", ",E2,"},")</f>
        <v xml:space="preserve">  {"Upper DBs", m_upper_db, NULL, NULL, -1, -1},</v>
      </c>
      <c r="L2" s="78" t="str">
        <f>CONCATENATE("  ",C2,",")</f>
        <v xml:space="preserve">  m_upper_db,</v>
      </c>
    </row>
    <row r="3" spans="1:12" x14ac:dyDescent="0.25">
      <c r="A3" s="97">
        <f t="shared" ref="A3:A54" si="1">A2+1</f>
        <v>1</v>
      </c>
      <c r="B3" s="73" t="s">
        <v>82</v>
      </c>
      <c r="C3" s="80" t="s">
        <v>209</v>
      </c>
      <c r="D3" s="38">
        <v>-1</v>
      </c>
      <c r="E3" s="81">
        <v>-1</v>
      </c>
      <c r="F3" s="52" t="s">
        <v>115</v>
      </c>
      <c r="G3" s="52" t="s">
        <v>115</v>
      </c>
      <c r="H3" s="68" t="str">
        <f t="shared" ref="H3:H52" si="2">CONCATENATE("""",B3,""", ")</f>
        <v xml:space="preserve">"Lower DBs", </v>
      </c>
      <c r="I3" s="69" t="str">
        <f t="shared" ref="I3:I52" si="3">IF(F3="NULL",CONCATENATE(F3,", "),CONCATENATE("&amp;",F3,", "))</f>
        <v xml:space="preserve">NULL, </v>
      </c>
      <c r="J3" s="69" t="str">
        <f t="shared" ref="J3:J52" si="4">IF(G3="NULL",CONCATENATE(G3,", "),CONCATENATE("&amp;",G3,", "))</f>
        <v xml:space="preserve">NULL, </v>
      </c>
      <c r="K3" s="63" t="str">
        <f t="shared" si="0"/>
        <v xml:space="preserve">  {"Lower DBs", m_lower_db, NULL, NULL, -1, -1},</v>
      </c>
      <c r="L3" s="78" t="str">
        <f t="shared" ref="L3:L13" si="5">CONCATENATE("  ",C3,",")</f>
        <v xml:space="preserve">  m_lower_db,</v>
      </c>
    </row>
    <row r="4" spans="1:12" x14ac:dyDescent="0.25">
      <c r="A4" s="97">
        <f t="shared" si="1"/>
        <v>2</v>
      </c>
      <c r="B4" s="73" t="s">
        <v>83</v>
      </c>
      <c r="C4" s="80" t="s">
        <v>210</v>
      </c>
      <c r="D4" s="38">
        <v>-1</v>
      </c>
      <c r="E4" s="81">
        <v>-1</v>
      </c>
      <c r="F4" s="52" t="s">
        <v>115</v>
      </c>
      <c r="G4" s="52" t="s">
        <v>115</v>
      </c>
      <c r="H4" s="68" t="str">
        <f t="shared" si="2"/>
        <v xml:space="preserve">"Pedal DBs", </v>
      </c>
      <c r="I4" s="69" t="str">
        <f t="shared" si="3"/>
        <v xml:space="preserve">NULL, </v>
      </c>
      <c r="J4" s="69" t="str">
        <f t="shared" si="4"/>
        <v xml:space="preserve">NULL, </v>
      </c>
      <c r="K4" s="63" t="str">
        <f t="shared" si="0"/>
        <v xml:space="preserve">  {"Pedal DBs", m_pedal_db, NULL, NULL, -1, -1},</v>
      </c>
      <c r="L4" s="78" t="str">
        <f t="shared" si="5"/>
        <v xml:space="preserve">  m_pedal_db,</v>
      </c>
    </row>
    <row r="5" spans="1:12" x14ac:dyDescent="0.25">
      <c r="A5" s="97">
        <f t="shared" si="1"/>
        <v>3</v>
      </c>
      <c r="B5" s="74" t="s">
        <v>174</v>
      </c>
      <c r="C5" s="82" t="s">
        <v>212</v>
      </c>
      <c r="D5" s="38">
        <v>0</v>
      </c>
      <c r="E5" s="38">
        <v>127</v>
      </c>
      <c r="F5" s="60" t="s">
        <v>225</v>
      </c>
      <c r="G5" s="52" t="s">
        <v>226</v>
      </c>
      <c r="H5" s="68" t="str">
        <f t="shared" si="2"/>
        <v xml:space="preserve">"Swell Pedal", </v>
      </c>
      <c r="I5" s="69" t="str">
        <f t="shared" si="3"/>
        <v xml:space="preserve">&amp;preamp.swell127, </v>
      </c>
      <c r="J5" s="69" t="str">
        <f t="shared" si="4"/>
        <v xml:space="preserve">&amp;sendMIDIswell, </v>
      </c>
      <c r="K5" s="63" t="str">
        <f t="shared" si="0"/>
        <v xml:space="preserve">  {"Swell Pedal", m_swell, &amp;preamp.swell127, &amp;sendMIDIswell, 0, 127},</v>
      </c>
      <c r="L5" s="78" t="str">
        <f t="shared" si="5"/>
        <v xml:space="preserve">  m_swell,</v>
      </c>
    </row>
    <row r="6" spans="1:12" x14ac:dyDescent="0.25">
      <c r="A6" s="97">
        <f t="shared" si="1"/>
        <v>4</v>
      </c>
      <c r="B6" s="74" t="s">
        <v>79</v>
      </c>
      <c r="C6" s="82" t="s">
        <v>213</v>
      </c>
      <c r="D6" s="29">
        <v>0</v>
      </c>
      <c r="E6" s="29">
        <v>127</v>
      </c>
      <c r="F6" s="60" t="s">
        <v>175</v>
      </c>
      <c r="G6" s="62" t="s">
        <v>207</v>
      </c>
      <c r="H6" s="68" t="str">
        <f t="shared" si="2"/>
        <v xml:space="preserve">"Master Volume", </v>
      </c>
      <c r="I6" s="69" t="str">
        <f t="shared" si="3"/>
        <v xml:space="preserve">&amp;preamp.masterVolume, </v>
      </c>
      <c r="J6" s="69" t="str">
        <f t="shared" si="4"/>
        <v xml:space="preserve">&amp;sendOrganVolumes, </v>
      </c>
      <c r="K6" s="63" t="str">
        <f>CONCATENATE("  {",H6,C6,", ",I6,J6,D6,", ",E6,"},")</f>
        <v xml:space="preserve">  {"Master Volume", m_volume, &amp;preamp.masterVolume, &amp;sendOrganVolumes, 0, 127},</v>
      </c>
      <c r="L6" s="78" t="str">
        <f t="shared" si="5"/>
        <v xml:space="preserve">  m_volume,</v>
      </c>
    </row>
    <row r="7" spans="1:12" x14ac:dyDescent="0.25">
      <c r="A7" s="97">
        <f t="shared" si="1"/>
        <v>5</v>
      </c>
      <c r="B7" s="54" t="s">
        <v>80</v>
      </c>
      <c r="C7" s="82" t="s">
        <v>214</v>
      </c>
      <c r="D7" s="29">
        <v>0</v>
      </c>
      <c r="E7" s="29">
        <v>127</v>
      </c>
      <c r="F7" s="60" t="s">
        <v>206</v>
      </c>
      <c r="G7" s="62" t="s">
        <v>205</v>
      </c>
      <c r="H7" s="68" t="str">
        <f t="shared" si="2"/>
        <v xml:space="preserve">"Amp Gain", </v>
      </c>
      <c r="I7" s="69" t="str">
        <f t="shared" si="3"/>
        <v xml:space="preserve">&amp;preamp.ampGain, </v>
      </c>
      <c r="J7" s="69" t="str">
        <f t="shared" si="4"/>
        <v xml:space="preserve">&amp;sendAmpVolume, </v>
      </c>
      <c r="K7" s="63" t="str">
        <f t="shared" ref="K7:K52" si="6">CONCATENATE("  {",H7,C7,", ",I7,J7,D7,", ",E7,"},")</f>
        <v xml:space="preserve">  {"Amp Gain", m_gain, &amp;preamp.ampGain, &amp;sendAmpVolume, 0, 127},</v>
      </c>
      <c r="L7" s="78" t="str">
        <f t="shared" si="5"/>
        <v xml:space="preserve">  m_gain,</v>
      </c>
    </row>
    <row r="8" spans="1:12" s="50" customFormat="1" x14ac:dyDescent="0.25">
      <c r="A8" s="97">
        <f t="shared" si="1"/>
        <v>6</v>
      </c>
      <c r="B8" s="54" t="s">
        <v>114</v>
      </c>
      <c r="C8" s="80" t="s">
        <v>211</v>
      </c>
      <c r="D8" s="29">
        <v>-1</v>
      </c>
      <c r="E8" s="50">
        <v>-1</v>
      </c>
      <c r="F8" s="52" t="s">
        <v>115</v>
      </c>
      <c r="G8" s="52" t="s">
        <v>115</v>
      </c>
      <c r="H8" s="68" t="str">
        <f t="shared" si="2"/>
        <v xml:space="preserve">"SD Flash Tools", </v>
      </c>
      <c r="I8" s="69" t="str">
        <f t="shared" si="3"/>
        <v xml:space="preserve">NULL, </v>
      </c>
      <c r="J8" s="69" t="str">
        <f t="shared" si="4"/>
        <v xml:space="preserve">NULL, </v>
      </c>
      <c r="K8" s="63" t="str">
        <f t="shared" si="6"/>
        <v xml:space="preserve">  {"SD Flash Tools", m_sd_card, NULL, NULL, -1, -1},</v>
      </c>
      <c r="L8" s="78" t="str">
        <f t="shared" si="5"/>
        <v xml:space="preserve">  m_sd_card,</v>
      </c>
    </row>
    <row r="9" spans="1:12" s="50" customFormat="1" x14ac:dyDescent="0.25">
      <c r="A9" s="97">
        <f t="shared" si="1"/>
        <v>7</v>
      </c>
      <c r="B9" s="73" t="s">
        <v>30</v>
      </c>
      <c r="C9" s="80" t="s">
        <v>157</v>
      </c>
      <c r="D9" s="38">
        <v>-1</v>
      </c>
      <c r="E9" s="83">
        <v>-1</v>
      </c>
      <c r="F9" s="52" t="s">
        <v>115</v>
      </c>
      <c r="G9" s="52" t="s">
        <v>115</v>
      </c>
      <c r="H9" s="68" t="str">
        <f t="shared" si="2"/>
        <v xml:space="preserve">"Keyboard", </v>
      </c>
      <c r="I9" s="69" t="str">
        <f t="shared" si="3"/>
        <v xml:space="preserve">NULL, </v>
      </c>
      <c r="J9" s="69" t="str">
        <f t="shared" si="4"/>
        <v xml:space="preserve">NULL, </v>
      </c>
      <c r="K9" s="63" t="str">
        <f t="shared" si="6"/>
        <v xml:space="preserve">  {"Keyboard", m_kbd_driver, NULL, NULL, -1, -1},</v>
      </c>
      <c r="L9" s="78" t="str">
        <f t="shared" si="5"/>
        <v xml:space="preserve">  m_kbd_driver,</v>
      </c>
    </row>
    <row r="10" spans="1:12" s="50" customFormat="1" x14ac:dyDescent="0.25">
      <c r="A10" s="97">
        <f t="shared" si="1"/>
        <v>8</v>
      </c>
      <c r="B10" s="73" t="s">
        <v>149</v>
      </c>
      <c r="C10" s="82" t="s">
        <v>215</v>
      </c>
      <c r="D10" s="38">
        <v>0</v>
      </c>
      <c r="E10" s="84">
        <v>15</v>
      </c>
      <c r="F10" s="52" t="s">
        <v>176</v>
      </c>
      <c r="G10" s="52" t="s">
        <v>150</v>
      </c>
      <c r="H10" s="68" t="str">
        <f t="shared" si="2"/>
        <v xml:space="preserve">"Organ Model", </v>
      </c>
      <c r="I10" s="69" t="str">
        <f t="shared" si="3"/>
        <v xml:space="preserve">&amp;tabs.organModel, </v>
      </c>
      <c r="J10" s="69" t="str">
        <f t="shared" si="4"/>
        <v xml:space="preserve">&amp;menuOrganModel, </v>
      </c>
      <c r="K10" s="63" t="str">
        <f t="shared" si="6"/>
        <v xml:space="preserve">  {"Organ Model", m_organ, &amp;tabs.organModel, &amp;menuOrganModel, 0, 15},</v>
      </c>
      <c r="L10" s="78" t="str">
        <f t="shared" si="5"/>
        <v xml:space="preserve">  m_organ,</v>
      </c>
    </row>
    <row r="11" spans="1:12" x14ac:dyDescent="0.25">
      <c r="A11" s="97">
        <f t="shared" si="1"/>
        <v>9</v>
      </c>
      <c r="B11" s="73" t="s">
        <v>151</v>
      </c>
      <c r="C11" s="82" t="s">
        <v>216</v>
      </c>
      <c r="D11" s="38">
        <v>0</v>
      </c>
      <c r="E11" s="84">
        <v>15</v>
      </c>
      <c r="F11" s="52" t="s">
        <v>178</v>
      </c>
      <c r="G11" s="52" t="s">
        <v>152</v>
      </c>
      <c r="H11" s="68" t="str">
        <f t="shared" si="2"/>
        <v xml:space="preserve">"Speaker Model", </v>
      </c>
      <c r="I11" s="69" t="str">
        <f t="shared" si="3"/>
        <v xml:space="preserve">&amp;tabs.speakerModel, </v>
      </c>
      <c r="J11" s="69" t="str">
        <f t="shared" si="4"/>
        <v xml:space="preserve">&amp;menuSpeakerModel, </v>
      </c>
      <c r="K11" s="63" t="str">
        <f t="shared" si="6"/>
        <v xml:space="preserve">  {"Speaker Model", m_speaker, &amp;tabs.speakerModel, &amp;menuSpeakerModel, 0, 15},</v>
      </c>
      <c r="L11" s="78" t="str">
        <f t="shared" si="5"/>
        <v xml:space="preserve">  m_speaker,</v>
      </c>
    </row>
    <row r="12" spans="1:12" x14ac:dyDescent="0.25">
      <c r="A12" s="97">
        <f t="shared" si="1"/>
        <v>10</v>
      </c>
      <c r="B12" s="73" t="s">
        <v>77</v>
      </c>
      <c r="C12" s="82" t="s">
        <v>217</v>
      </c>
      <c r="D12" s="38">
        <v>-1</v>
      </c>
      <c r="E12" s="38">
        <v>31</v>
      </c>
      <c r="F12" s="52" t="s">
        <v>115</v>
      </c>
      <c r="G12" s="52" t="s">
        <v>115</v>
      </c>
      <c r="H12" s="68" t="str">
        <f t="shared" si="2"/>
        <v xml:space="preserve">"Pitchwheel Pot", </v>
      </c>
      <c r="I12" s="69" t="str">
        <f t="shared" si="3"/>
        <v xml:space="preserve">NULL, </v>
      </c>
      <c r="J12" s="69" t="str">
        <f t="shared" si="4"/>
        <v xml:space="preserve">NULL, </v>
      </c>
      <c r="K12" s="63" t="str">
        <f t="shared" si="6"/>
        <v xml:space="preserve">  {"Pitchwheel Pot", m_pitchwheel, NULL, NULL, -1, 31},</v>
      </c>
      <c r="L12" s="78" t="str">
        <f t="shared" si="5"/>
        <v xml:space="preserve">  m_pitchwheel,</v>
      </c>
    </row>
    <row r="13" spans="1:12" x14ac:dyDescent="0.25">
      <c r="A13" s="97">
        <f t="shared" si="1"/>
        <v>11</v>
      </c>
      <c r="B13" s="91" t="s">
        <v>104</v>
      </c>
      <c r="C13" s="92" t="s">
        <v>164</v>
      </c>
      <c r="D13" s="81">
        <v>-1</v>
      </c>
      <c r="E13" s="81">
        <v>-1</v>
      </c>
      <c r="F13" s="52" t="s">
        <v>115</v>
      </c>
      <c r="G13" s="52" t="s">
        <v>115</v>
      </c>
      <c r="H13" s="68" t="str">
        <f t="shared" si="2"/>
        <v xml:space="preserve">"End", </v>
      </c>
      <c r="I13" s="69" t="str">
        <f t="shared" si="3"/>
        <v xml:space="preserve">NULL, </v>
      </c>
      <c r="J13" s="69" t="str">
        <f t="shared" si="4"/>
        <v xml:space="preserve">NULL, </v>
      </c>
      <c r="K13" s="63" t="str">
        <f t="shared" si="6"/>
        <v xml:space="preserve">  {"End", m_main_end, NULL, NULL, -1, -1},</v>
      </c>
      <c r="L13" s="78" t="str">
        <f t="shared" si="5"/>
        <v xml:space="preserve">  m_main_end,</v>
      </c>
    </row>
    <row r="14" spans="1:12" x14ac:dyDescent="0.25">
      <c r="A14" s="97">
        <f t="shared" si="1"/>
        <v>12</v>
      </c>
      <c r="B14" s="75" t="s">
        <v>84</v>
      </c>
      <c r="C14" s="80" t="s">
        <v>208</v>
      </c>
      <c r="D14" s="29">
        <v>0</v>
      </c>
      <c r="E14" s="29">
        <v>127</v>
      </c>
      <c r="F14" s="52" t="s">
        <v>177</v>
      </c>
      <c r="G14" s="52" t="s">
        <v>138</v>
      </c>
      <c r="H14" s="68" t="str">
        <f t="shared" si="2"/>
        <v xml:space="preserve">"Upper DB 16", </v>
      </c>
      <c r="I14" s="69" t="str">
        <f t="shared" si="3"/>
        <v xml:space="preserve">&amp;drawbars.upper[0], </v>
      </c>
      <c r="J14" s="69" t="str">
        <f t="shared" si="4"/>
        <v xml:space="preserve">&amp;fpga_send_upper_db, </v>
      </c>
      <c r="K14" s="63" t="str">
        <f t="shared" si="6"/>
        <v xml:space="preserve">  {"Upper DB 16", m_upper_db, &amp;drawbars.upper[0], &amp;fpga_send_upper_db, 0, 127},</v>
      </c>
      <c r="L14" s="78" t="s">
        <v>218</v>
      </c>
    </row>
    <row r="15" spans="1:12" x14ac:dyDescent="0.25">
      <c r="A15" s="97">
        <f t="shared" si="1"/>
        <v>13</v>
      </c>
      <c r="B15" s="76" t="s">
        <v>85</v>
      </c>
      <c r="C15" s="80" t="s">
        <v>208</v>
      </c>
      <c r="D15" s="29">
        <v>0</v>
      </c>
      <c r="E15" s="29">
        <v>127</v>
      </c>
      <c r="F15" s="52" t="s">
        <v>179</v>
      </c>
      <c r="G15" s="52" t="s">
        <v>138</v>
      </c>
      <c r="H15" s="68" t="str">
        <f t="shared" si="2"/>
        <v xml:space="preserve">"Upper DB 5 1/3", </v>
      </c>
      <c r="I15" s="69" t="str">
        <f t="shared" si="3"/>
        <v xml:space="preserve">&amp;drawbars.upper[1], </v>
      </c>
      <c r="J15" s="69" t="str">
        <f t="shared" si="4"/>
        <v xml:space="preserve">&amp;fpga_send_upper_db, </v>
      </c>
      <c r="K15" s="63" t="str">
        <f t="shared" si="6"/>
        <v xml:space="preserve">  {"Upper DB 5 1/3", m_upper_db, &amp;drawbars.upper[1], &amp;fpga_send_upper_db, 0, 127},</v>
      </c>
    </row>
    <row r="16" spans="1:12" s="50" customFormat="1" x14ac:dyDescent="0.25">
      <c r="A16" s="97">
        <f t="shared" si="1"/>
        <v>14</v>
      </c>
      <c r="B16" s="76" t="s">
        <v>86</v>
      </c>
      <c r="C16" s="80" t="s">
        <v>208</v>
      </c>
      <c r="D16" s="29">
        <v>0</v>
      </c>
      <c r="E16" s="29">
        <v>127</v>
      </c>
      <c r="F16" s="52" t="s">
        <v>180</v>
      </c>
      <c r="G16" s="52" t="s">
        <v>138</v>
      </c>
      <c r="H16" s="68" t="str">
        <f t="shared" si="2"/>
        <v xml:space="preserve">"Upper DB 8", </v>
      </c>
      <c r="I16" s="69" t="str">
        <f t="shared" si="3"/>
        <v xml:space="preserve">&amp;drawbars.upper[2], </v>
      </c>
      <c r="J16" s="69" t="str">
        <f t="shared" si="4"/>
        <v xml:space="preserve">&amp;fpga_send_upper_db, </v>
      </c>
      <c r="K16" s="63" t="str">
        <f t="shared" si="6"/>
        <v xml:space="preserve">  {"Upper DB 8", m_upper_db, &amp;drawbars.upper[2], &amp;fpga_send_upper_db, 0, 127},</v>
      </c>
    </row>
    <row r="17" spans="1:11" x14ac:dyDescent="0.25">
      <c r="A17" s="97">
        <f t="shared" si="1"/>
        <v>15</v>
      </c>
      <c r="B17" s="76" t="s">
        <v>87</v>
      </c>
      <c r="C17" s="80" t="s">
        <v>208</v>
      </c>
      <c r="D17" s="29">
        <v>0</v>
      </c>
      <c r="E17" s="29">
        <v>127</v>
      </c>
      <c r="F17" s="52" t="s">
        <v>181</v>
      </c>
      <c r="G17" s="52" t="s">
        <v>138</v>
      </c>
      <c r="H17" s="68" t="str">
        <f t="shared" si="2"/>
        <v xml:space="preserve">"Upper DB 4", </v>
      </c>
      <c r="I17" s="69" t="str">
        <f t="shared" si="3"/>
        <v xml:space="preserve">&amp;drawbars.upper[3], </v>
      </c>
      <c r="J17" s="69" t="str">
        <f t="shared" si="4"/>
        <v xml:space="preserve">&amp;fpga_send_upper_db, </v>
      </c>
      <c r="K17" s="63" t="str">
        <f t="shared" si="6"/>
        <v xml:space="preserve">  {"Upper DB 4", m_upper_db, &amp;drawbars.upper[3], &amp;fpga_send_upper_db, 0, 127},</v>
      </c>
    </row>
    <row r="18" spans="1:11" x14ac:dyDescent="0.25">
      <c r="A18" s="97">
        <f t="shared" si="1"/>
        <v>16</v>
      </c>
      <c r="B18" s="76" t="s">
        <v>88</v>
      </c>
      <c r="C18" s="80" t="s">
        <v>208</v>
      </c>
      <c r="D18" s="29">
        <v>0</v>
      </c>
      <c r="E18" s="29">
        <v>127</v>
      </c>
      <c r="F18" s="52" t="s">
        <v>182</v>
      </c>
      <c r="G18" s="52" t="s">
        <v>138</v>
      </c>
      <c r="H18" s="68" t="str">
        <f t="shared" si="2"/>
        <v xml:space="preserve">"Upper DB 2 2/3", </v>
      </c>
      <c r="I18" s="69" t="str">
        <f t="shared" si="3"/>
        <v xml:space="preserve">&amp;drawbars.upper[4], </v>
      </c>
      <c r="J18" s="69" t="str">
        <f t="shared" si="4"/>
        <v xml:space="preserve">&amp;fpga_send_upper_db, </v>
      </c>
      <c r="K18" s="63" t="str">
        <f t="shared" si="6"/>
        <v xml:space="preserve">  {"Upper DB 2 2/3", m_upper_db, &amp;drawbars.upper[4], &amp;fpga_send_upper_db, 0, 127},</v>
      </c>
    </row>
    <row r="19" spans="1:11" x14ac:dyDescent="0.25">
      <c r="A19" s="97">
        <f t="shared" si="1"/>
        <v>17</v>
      </c>
      <c r="B19" s="76" t="s">
        <v>89</v>
      </c>
      <c r="C19" s="80" t="s">
        <v>208</v>
      </c>
      <c r="D19" s="29">
        <v>0</v>
      </c>
      <c r="E19" s="29">
        <v>127</v>
      </c>
      <c r="F19" s="52" t="s">
        <v>183</v>
      </c>
      <c r="G19" s="52" t="s">
        <v>138</v>
      </c>
      <c r="H19" s="68" t="str">
        <f t="shared" si="2"/>
        <v xml:space="preserve">"Upper DB 2", </v>
      </c>
      <c r="I19" s="69" t="str">
        <f t="shared" si="3"/>
        <v xml:space="preserve">&amp;drawbars.upper[5], </v>
      </c>
      <c r="J19" s="69" t="str">
        <f t="shared" si="4"/>
        <v xml:space="preserve">&amp;fpga_send_upper_db, </v>
      </c>
      <c r="K19" s="63" t="str">
        <f t="shared" si="6"/>
        <v xml:space="preserve">  {"Upper DB 2", m_upper_db, &amp;drawbars.upper[5], &amp;fpga_send_upper_db, 0, 127},</v>
      </c>
    </row>
    <row r="20" spans="1:11" x14ac:dyDescent="0.25">
      <c r="A20" s="97">
        <f t="shared" si="1"/>
        <v>18</v>
      </c>
      <c r="B20" s="76" t="s">
        <v>90</v>
      </c>
      <c r="C20" s="80" t="s">
        <v>208</v>
      </c>
      <c r="D20" s="29">
        <v>0</v>
      </c>
      <c r="E20" s="29">
        <v>127</v>
      </c>
      <c r="F20" s="52" t="s">
        <v>184</v>
      </c>
      <c r="G20" s="52" t="s">
        <v>138</v>
      </c>
      <c r="H20" s="68" t="str">
        <f t="shared" si="2"/>
        <v xml:space="preserve">"Upper DB 1 3/5", </v>
      </c>
      <c r="I20" s="69" t="str">
        <f t="shared" si="3"/>
        <v xml:space="preserve">&amp;drawbars.upper[6], </v>
      </c>
      <c r="J20" s="69" t="str">
        <f t="shared" si="4"/>
        <v xml:space="preserve">&amp;fpga_send_upper_db, </v>
      </c>
      <c r="K20" s="63" t="str">
        <f t="shared" si="6"/>
        <v xml:space="preserve">  {"Upper DB 1 3/5", m_upper_db, &amp;drawbars.upper[6], &amp;fpga_send_upper_db, 0, 127},</v>
      </c>
    </row>
    <row r="21" spans="1:11" s="50" customFormat="1" x14ac:dyDescent="0.25">
      <c r="A21" s="97">
        <f t="shared" si="1"/>
        <v>19</v>
      </c>
      <c r="B21" s="76" t="s">
        <v>91</v>
      </c>
      <c r="C21" s="80" t="s">
        <v>208</v>
      </c>
      <c r="D21" s="29">
        <v>0</v>
      </c>
      <c r="E21" s="29">
        <v>127</v>
      </c>
      <c r="F21" s="52" t="s">
        <v>185</v>
      </c>
      <c r="G21" s="52" t="s">
        <v>138</v>
      </c>
      <c r="H21" s="68" t="str">
        <f t="shared" si="2"/>
        <v xml:space="preserve">"Upper DB 1 1/3", </v>
      </c>
      <c r="I21" s="69" t="str">
        <f t="shared" si="3"/>
        <v xml:space="preserve">&amp;drawbars.upper[7], </v>
      </c>
      <c r="J21" s="69" t="str">
        <f t="shared" si="4"/>
        <v xml:space="preserve">&amp;fpga_send_upper_db, </v>
      </c>
      <c r="K21" s="63" t="str">
        <f t="shared" si="6"/>
        <v xml:space="preserve">  {"Upper DB 1 1/3", m_upper_db, &amp;drawbars.upper[7], &amp;fpga_send_upper_db, 0, 127},</v>
      </c>
    </row>
    <row r="22" spans="1:11" x14ac:dyDescent="0.25">
      <c r="A22" s="97">
        <f t="shared" si="1"/>
        <v>20</v>
      </c>
      <c r="B22" s="76" t="s">
        <v>92</v>
      </c>
      <c r="C22" s="80" t="s">
        <v>208</v>
      </c>
      <c r="D22" s="29">
        <v>0</v>
      </c>
      <c r="E22" s="29">
        <v>127</v>
      </c>
      <c r="F22" s="52" t="s">
        <v>186</v>
      </c>
      <c r="G22" s="52" t="s">
        <v>138</v>
      </c>
      <c r="H22" s="68" t="str">
        <f t="shared" si="2"/>
        <v xml:space="preserve">"Upper DB 1", </v>
      </c>
      <c r="I22" s="69" t="str">
        <f t="shared" si="3"/>
        <v xml:space="preserve">&amp;drawbars.upper[8], </v>
      </c>
      <c r="J22" s="69" t="str">
        <f t="shared" si="4"/>
        <v xml:space="preserve">&amp;fpga_send_upper_db, </v>
      </c>
      <c r="K22" s="63" t="str">
        <f t="shared" si="6"/>
        <v xml:space="preserve">  {"Upper DB 1", m_upper_db, &amp;drawbars.upper[8], &amp;fpga_send_upper_db, 0, 127},</v>
      </c>
    </row>
    <row r="23" spans="1:11" x14ac:dyDescent="0.25">
      <c r="A23" s="97">
        <f t="shared" si="1"/>
        <v>21</v>
      </c>
      <c r="B23" s="90" t="s">
        <v>105</v>
      </c>
      <c r="C23" s="86" t="s">
        <v>208</v>
      </c>
      <c r="D23" s="50">
        <v>-1</v>
      </c>
      <c r="E23" s="50">
        <v>-1</v>
      </c>
      <c r="F23" s="52" t="s">
        <v>115</v>
      </c>
      <c r="G23" s="52" t="s">
        <v>115</v>
      </c>
      <c r="H23" s="68" t="str">
        <f t="shared" ref="H23" si="7">CONCATENATE("""",B23,""", ")</f>
        <v xml:space="preserve">"Upper DB", </v>
      </c>
      <c r="I23" s="69" t="str">
        <f t="shared" ref="I23" si="8">IF(F23="NULL",CONCATENATE(F23,", "),CONCATENATE("&amp;",F23,", "))</f>
        <v xml:space="preserve">NULL, </v>
      </c>
      <c r="J23" s="69" t="str">
        <f t="shared" ref="J23" si="9">IF(G23="NULL",CONCATENATE(G23,", "),CONCATENATE("&amp;",G23,", "))</f>
        <v xml:space="preserve">NULL, </v>
      </c>
      <c r="K23" s="63" t="str">
        <f t="shared" ref="K23" si="10">CONCATENATE("  {",H23,C23,", ",I23,J23,D23,", ",E23,"},")</f>
        <v xml:space="preserve">  {"Upper DB", m_upper_db, NULL, NULL, -1, -1},</v>
      </c>
    </row>
    <row r="24" spans="1:11" x14ac:dyDescent="0.25">
      <c r="A24" s="97">
        <f t="shared" si="1"/>
        <v>22</v>
      </c>
      <c r="B24" s="58" t="s">
        <v>93</v>
      </c>
      <c r="C24" s="80" t="s">
        <v>209</v>
      </c>
      <c r="D24" s="29">
        <v>0</v>
      </c>
      <c r="E24" s="29">
        <v>127</v>
      </c>
      <c r="F24" s="52" t="s">
        <v>187</v>
      </c>
      <c r="G24" s="52" t="s">
        <v>139</v>
      </c>
      <c r="H24" s="68" t="str">
        <f t="shared" si="2"/>
        <v xml:space="preserve">"Lower DB 16", </v>
      </c>
      <c r="I24" s="69" t="str">
        <f t="shared" si="3"/>
        <v xml:space="preserve">&amp;drawbars.lower[0], </v>
      </c>
      <c r="J24" s="69" t="str">
        <f t="shared" si="4"/>
        <v xml:space="preserve">&amp;fpga_send_lower_db, </v>
      </c>
      <c r="K24" s="63" t="str">
        <f t="shared" si="6"/>
        <v xml:space="preserve">  {"Lower DB 16", m_lower_db, &amp;drawbars.lower[0], &amp;fpga_send_lower_db, 0, 127},</v>
      </c>
    </row>
    <row r="25" spans="1:11" x14ac:dyDescent="0.25">
      <c r="A25" s="97">
        <f t="shared" si="1"/>
        <v>23</v>
      </c>
      <c r="B25" s="55" t="s">
        <v>94</v>
      </c>
      <c r="C25" s="80" t="s">
        <v>209</v>
      </c>
      <c r="D25" s="29">
        <v>0</v>
      </c>
      <c r="E25" s="29">
        <v>127</v>
      </c>
      <c r="F25" s="52" t="s">
        <v>188</v>
      </c>
      <c r="G25" s="52" t="s">
        <v>139</v>
      </c>
      <c r="H25" s="68" t="str">
        <f t="shared" si="2"/>
        <v xml:space="preserve">"Lower DB 5 1/3", </v>
      </c>
      <c r="I25" s="69" t="str">
        <f t="shared" si="3"/>
        <v xml:space="preserve">&amp;drawbars.lower[1], </v>
      </c>
      <c r="J25" s="69" t="str">
        <f t="shared" si="4"/>
        <v xml:space="preserve">&amp;fpga_send_lower_db, </v>
      </c>
      <c r="K25" s="63" t="str">
        <f t="shared" si="6"/>
        <v xml:space="preserve">  {"Lower DB 5 1/3", m_lower_db, &amp;drawbars.lower[1], &amp;fpga_send_lower_db, 0, 127},</v>
      </c>
    </row>
    <row r="26" spans="1:11" x14ac:dyDescent="0.25">
      <c r="A26" s="97">
        <f t="shared" si="1"/>
        <v>24</v>
      </c>
      <c r="B26" s="55" t="s">
        <v>95</v>
      </c>
      <c r="C26" s="80" t="s">
        <v>209</v>
      </c>
      <c r="D26" s="29">
        <v>0</v>
      </c>
      <c r="E26" s="29">
        <v>127</v>
      </c>
      <c r="F26" s="52" t="s">
        <v>189</v>
      </c>
      <c r="G26" s="52" t="s">
        <v>139</v>
      </c>
      <c r="H26" s="68" t="str">
        <f t="shared" si="2"/>
        <v xml:space="preserve">"Lower DB 8", </v>
      </c>
      <c r="I26" s="69" t="str">
        <f t="shared" si="3"/>
        <v xml:space="preserve">&amp;drawbars.lower[2], </v>
      </c>
      <c r="J26" s="69" t="str">
        <f t="shared" si="4"/>
        <v xml:space="preserve">&amp;fpga_send_lower_db, </v>
      </c>
      <c r="K26" s="63" t="str">
        <f t="shared" si="6"/>
        <v xml:space="preserve">  {"Lower DB 8", m_lower_db, &amp;drawbars.lower[2], &amp;fpga_send_lower_db, 0, 127},</v>
      </c>
    </row>
    <row r="27" spans="1:11" x14ac:dyDescent="0.25">
      <c r="A27" s="97">
        <f t="shared" si="1"/>
        <v>25</v>
      </c>
      <c r="B27" s="55" t="s">
        <v>96</v>
      </c>
      <c r="C27" s="80" t="s">
        <v>209</v>
      </c>
      <c r="D27" s="29">
        <v>0</v>
      </c>
      <c r="E27" s="29">
        <v>127</v>
      </c>
      <c r="F27" s="52" t="s">
        <v>190</v>
      </c>
      <c r="G27" s="52" t="s">
        <v>139</v>
      </c>
      <c r="H27" s="68" t="str">
        <f t="shared" si="2"/>
        <v xml:space="preserve">"Lower DB 4", </v>
      </c>
      <c r="I27" s="69" t="str">
        <f t="shared" si="3"/>
        <v xml:space="preserve">&amp;drawbars.lower[3], </v>
      </c>
      <c r="J27" s="69" t="str">
        <f t="shared" si="4"/>
        <v xml:space="preserve">&amp;fpga_send_lower_db, </v>
      </c>
      <c r="K27" s="63" t="str">
        <f t="shared" si="6"/>
        <v xml:space="preserve">  {"Lower DB 4", m_lower_db, &amp;drawbars.lower[3], &amp;fpga_send_lower_db, 0, 127},</v>
      </c>
    </row>
    <row r="28" spans="1:11" x14ac:dyDescent="0.25">
      <c r="A28" s="97">
        <f t="shared" si="1"/>
        <v>26</v>
      </c>
      <c r="B28" s="55" t="s">
        <v>97</v>
      </c>
      <c r="C28" s="80" t="s">
        <v>209</v>
      </c>
      <c r="D28" s="29">
        <v>0</v>
      </c>
      <c r="E28" s="29">
        <v>127</v>
      </c>
      <c r="F28" s="52" t="s">
        <v>191</v>
      </c>
      <c r="G28" s="52" t="s">
        <v>139</v>
      </c>
      <c r="H28" s="68" t="str">
        <f t="shared" si="2"/>
        <v xml:space="preserve">"Lower DB 2 2/3", </v>
      </c>
      <c r="I28" s="69" t="str">
        <f t="shared" si="3"/>
        <v xml:space="preserve">&amp;drawbars.lower[4], </v>
      </c>
      <c r="J28" s="69" t="str">
        <f t="shared" si="4"/>
        <v xml:space="preserve">&amp;fpga_send_lower_db, </v>
      </c>
      <c r="K28" s="63" t="str">
        <f t="shared" si="6"/>
        <v xml:space="preserve">  {"Lower DB 2 2/3", m_lower_db, &amp;drawbars.lower[4], &amp;fpga_send_lower_db, 0, 127},</v>
      </c>
    </row>
    <row r="29" spans="1:11" x14ac:dyDescent="0.25">
      <c r="A29" s="97">
        <f t="shared" si="1"/>
        <v>27</v>
      </c>
      <c r="B29" s="55" t="s">
        <v>98</v>
      </c>
      <c r="C29" s="80" t="s">
        <v>209</v>
      </c>
      <c r="D29" s="29">
        <v>0</v>
      </c>
      <c r="E29" s="29">
        <v>127</v>
      </c>
      <c r="F29" s="52" t="s">
        <v>192</v>
      </c>
      <c r="G29" s="52" t="s">
        <v>139</v>
      </c>
      <c r="H29" s="68" t="str">
        <f t="shared" si="2"/>
        <v xml:space="preserve">"Lower DB 2", </v>
      </c>
      <c r="I29" s="69" t="str">
        <f t="shared" si="3"/>
        <v xml:space="preserve">&amp;drawbars.lower[5], </v>
      </c>
      <c r="J29" s="69" t="str">
        <f t="shared" si="4"/>
        <v xml:space="preserve">&amp;fpga_send_lower_db, </v>
      </c>
      <c r="K29" s="63" t="str">
        <f t="shared" si="6"/>
        <v xml:space="preserve">  {"Lower DB 2", m_lower_db, &amp;drawbars.lower[5], &amp;fpga_send_lower_db, 0, 127},</v>
      </c>
    </row>
    <row r="30" spans="1:11" x14ac:dyDescent="0.25">
      <c r="A30" s="97">
        <f t="shared" si="1"/>
        <v>28</v>
      </c>
      <c r="B30" s="55" t="s">
        <v>99</v>
      </c>
      <c r="C30" s="80" t="s">
        <v>209</v>
      </c>
      <c r="D30" s="29">
        <v>0</v>
      </c>
      <c r="E30" s="29">
        <v>127</v>
      </c>
      <c r="F30" s="52" t="s">
        <v>193</v>
      </c>
      <c r="G30" s="52" t="s">
        <v>139</v>
      </c>
      <c r="H30" s="68" t="str">
        <f t="shared" si="2"/>
        <v xml:space="preserve">"Lower DB 1 3/5", </v>
      </c>
      <c r="I30" s="69" t="str">
        <f t="shared" si="3"/>
        <v xml:space="preserve">&amp;drawbars.lower[6], </v>
      </c>
      <c r="J30" s="69" t="str">
        <f t="shared" si="4"/>
        <v xml:space="preserve">&amp;fpga_send_lower_db, </v>
      </c>
      <c r="K30" s="63" t="str">
        <f t="shared" si="6"/>
        <v xml:space="preserve">  {"Lower DB 1 3/5", m_lower_db, &amp;drawbars.lower[6], &amp;fpga_send_lower_db, 0, 127},</v>
      </c>
    </row>
    <row r="31" spans="1:11" x14ac:dyDescent="0.25">
      <c r="A31" s="97">
        <f t="shared" si="1"/>
        <v>29</v>
      </c>
      <c r="B31" s="55" t="s">
        <v>100</v>
      </c>
      <c r="C31" s="80" t="s">
        <v>209</v>
      </c>
      <c r="D31" s="29">
        <v>0</v>
      </c>
      <c r="E31" s="29">
        <v>127</v>
      </c>
      <c r="F31" s="52" t="s">
        <v>194</v>
      </c>
      <c r="G31" s="52" t="s">
        <v>139</v>
      </c>
      <c r="H31" s="68" t="str">
        <f t="shared" si="2"/>
        <v xml:space="preserve">"Lower DB 1 1/3", </v>
      </c>
      <c r="I31" s="69" t="str">
        <f t="shared" si="3"/>
        <v xml:space="preserve">&amp;drawbars.lower[7], </v>
      </c>
      <c r="J31" s="69" t="str">
        <f t="shared" si="4"/>
        <v xml:space="preserve">&amp;fpga_send_lower_db, </v>
      </c>
      <c r="K31" s="63" t="str">
        <f t="shared" si="6"/>
        <v xml:space="preserve">  {"Lower DB 1 1/3", m_lower_db, &amp;drawbars.lower[7], &amp;fpga_send_lower_db, 0, 127},</v>
      </c>
    </row>
    <row r="32" spans="1:11" x14ac:dyDescent="0.25">
      <c r="A32" s="97">
        <f t="shared" si="1"/>
        <v>30</v>
      </c>
      <c r="B32" s="55" t="s">
        <v>101</v>
      </c>
      <c r="C32" s="80" t="s">
        <v>209</v>
      </c>
      <c r="D32" s="29">
        <v>0</v>
      </c>
      <c r="E32" s="29">
        <v>127</v>
      </c>
      <c r="F32" s="52" t="s">
        <v>195</v>
      </c>
      <c r="G32" s="52" t="s">
        <v>139</v>
      </c>
      <c r="H32" s="68" t="str">
        <f>CONCATENATE("""",B32,""", ")</f>
        <v xml:space="preserve">"Lower DB 1", </v>
      </c>
      <c r="I32" s="69" t="str">
        <f>IF(F32="NULL",CONCATENATE(F32,", "),CONCATENATE("&amp;",F32,", "))</f>
        <v xml:space="preserve">&amp;drawbars.lower[8], </v>
      </c>
      <c r="J32" s="69" t="str">
        <f>IF(G32="NULL",CONCATENATE(G32,", "),CONCATENATE("&amp;",G32,", "))</f>
        <v xml:space="preserve">&amp;fpga_send_lower_db, </v>
      </c>
      <c r="K32" s="63" t="str">
        <f>CONCATENATE("  {",H32,C32,", ",I32,J32,D32,", ",E32,"},")</f>
        <v xml:space="preserve">  {"Lower DB 1", m_lower_db, &amp;drawbars.lower[8], &amp;fpga_send_lower_db, 0, 127},</v>
      </c>
    </row>
    <row r="33" spans="1:11" x14ac:dyDescent="0.25">
      <c r="A33" s="97">
        <f t="shared" si="1"/>
        <v>31</v>
      </c>
      <c r="B33" s="87" t="s">
        <v>106</v>
      </c>
      <c r="C33" s="86" t="s">
        <v>209</v>
      </c>
      <c r="D33" s="50">
        <v>-1</v>
      </c>
      <c r="E33" s="50">
        <v>-1</v>
      </c>
      <c r="F33" s="52" t="s">
        <v>115</v>
      </c>
      <c r="G33" s="52" t="s">
        <v>115</v>
      </c>
      <c r="H33" s="68" t="str">
        <f>CONCATENATE("""",B33,""", ")</f>
        <v xml:space="preserve">"Lower DB", </v>
      </c>
      <c r="I33" s="69" t="str">
        <f>IF(F33="NULL",CONCATENATE(F33,", "),CONCATENATE("&amp;",F33,", "))</f>
        <v xml:space="preserve">NULL, </v>
      </c>
      <c r="J33" s="69" t="str">
        <f>IF(G33="NULL",CONCATENATE(G33,", "),CONCATENATE("&amp;",G33,", "))</f>
        <v xml:space="preserve">NULL, </v>
      </c>
      <c r="K33" s="63" t="str">
        <f>CONCATENATE("  {",H33,C33,", ",I33,J33,D33,", ",E33,"},")</f>
        <v xml:space="preserve">  {"Lower DB", m_lower_db, NULL, NULL, -1, -1},</v>
      </c>
    </row>
    <row r="34" spans="1:11" x14ac:dyDescent="0.25">
      <c r="A34" s="97">
        <f t="shared" si="1"/>
        <v>32</v>
      </c>
      <c r="B34" s="59" t="s">
        <v>102</v>
      </c>
      <c r="C34" s="80" t="s">
        <v>210</v>
      </c>
      <c r="D34" s="29">
        <v>0</v>
      </c>
      <c r="E34" s="29">
        <v>127</v>
      </c>
      <c r="F34" s="52" t="s">
        <v>196</v>
      </c>
      <c r="G34" s="52" t="s">
        <v>115</v>
      </c>
      <c r="H34" s="68" t="str">
        <f t="shared" si="2"/>
        <v xml:space="preserve">"Pedal DB 16", </v>
      </c>
      <c r="I34" s="69" t="str">
        <f t="shared" si="3"/>
        <v xml:space="preserve">&amp;drawbars.pedal[0], </v>
      </c>
      <c r="J34" s="69" t="str">
        <f t="shared" si="4"/>
        <v xml:space="preserve">NULL, </v>
      </c>
      <c r="K34" s="63" t="str">
        <f t="shared" si="6"/>
        <v xml:space="preserve">  {"Pedal DB 16", m_pedal_db, &amp;drawbars.pedal[0], NULL, 0, 127},</v>
      </c>
    </row>
    <row r="35" spans="1:11" x14ac:dyDescent="0.25">
      <c r="A35" s="97">
        <f t="shared" si="1"/>
        <v>33</v>
      </c>
      <c r="B35" s="56" t="s">
        <v>103</v>
      </c>
      <c r="C35" s="80" t="s">
        <v>210</v>
      </c>
      <c r="D35" s="29">
        <v>0</v>
      </c>
      <c r="E35" s="29">
        <v>127</v>
      </c>
      <c r="F35" s="52" t="s">
        <v>197</v>
      </c>
      <c r="G35" s="52" t="s">
        <v>115</v>
      </c>
      <c r="H35" s="68" t="str">
        <f t="shared" si="2"/>
        <v xml:space="preserve">"Pedal DB 8", </v>
      </c>
      <c r="I35" s="69" t="str">
        <f t="shared" si="3"/>
        <v xml:space="preserve">&amp;drawbars.pedal[1], </v>
      </c>
      <c r="J35" s="69" t="str">
        <f t="shared" si="4"/>
        <v xml:space="preserve">NULL, </v>
      </c>
      <c r="K35" s="63" t="str">
        <f t="shared" si="6"/>
        <v xml:space="preserve">  {"Pedal DB 8", m_pedal_db, &amp;drawbars.pedal[1], NULL, 0, 127},</v>
      </c>
    </row>
    <row r="36" spans="1:11" x14ac:dyDescent="0.25">
      <c r="A36" s="97">
        <f t="shared" si="1"/>
        <v>34</v>
      </c>
      <c r="B36" s="88" t="s">
        <v>107</v>
      </c>
      <c r="C36" s="86" t="s">
        <v>210</v>
      </c>
      <c r="D36" s="50">
        <v>-1</v>
      </c>
      <c r="E36" s="50">
        <v>-1</v>
      </c>
      <c r="F36" s="52" t="s">
        <v>115</v>
      </c>
      <c r="G36" s="52" t="s">
        <v>115</v>
      </c>
      <c r="H36" s="68" t="str">
        <f t="shared" ref="H36" si="11">CONCATENATE("""",B36,""", ")</f>
        <v xml:space="preserve">"Pedal DB", </v>
      </c>
      <c r="I36" s="69" t="str">
        <f t="shared" ref="I36" si="12">IF(F36="NULL",CONCATENATE(F36,", "),CONCATENATE("&amp;",F36,", "))</f>
        <v xml:space="preserve">NULL, </v>
      </c>
      <c r="J36" s="69" t="str">
        <f t="shared" ref="J36" si="13">IF(G36="NULL",CONCATENATE(G36,", "),CONCATENATE("&amp;",G36,", "))</f>
        <v xml:space="preserve">NULL, </v>
      </c>
      <c r="K36" s="63" t="str">
        <f t="shared" ref="K36" si="14">CONCATENATE("  {",H36,C36,", ",I36,J36,D36,", ",E36,"},")</f>
        <v xml:space="preserve">  {"Pedal DB", m_pedal_db, NULL, NULL, -1, -1},</v>
      </c>
    </row>
    <row r="37" spans="1:11" x14ac:dyDescent="0.25">
      <c r="A37" s="97">
        <f t="shared" si="1"/>
        <v>35</v>
      </c>
      <c r="B37" s="72" t="s">
        <v>146</v>
      </c>
      <c r="C37" s="80" t="s">
        <v>211</v>
      </c>
      <c r="D37" s="94">
        <v>0</v>
      </c>
      <c r="E37" s="94">
        <v>0</v>
      </c>
      <c r="F37" s="52" t="s">
        <v>115</v>
      </c>
      <c r="G37" s="52" t="s">
        <v>147</v>
      </c>
      <c r="H37" s="68" t="str">
        <f t="shared" si="2"/>
        <v xml:space="preserve">"SD Card Info", </v>
      </c>
      <c r="I37" s="69" t="str">
        <f t="shared" si="3"/>
        <v xml:space="preserve">NULL, </v>
      </c>
      <c r="J37" s="69" t="str">
        <f t="shared" si="4"/>
        <v xml:space="preserve">&amp;sdCardInfo, </v>
      </c>
      <c r="K37" s="63" t="str">
        <f t="shared" si="6"/>
        <v xml:space="preserve">  {"SD Card Info", m_sd_card, NULL, &amp;sdCardInfo, 0, 0},</v>
      </c>
    </row>
    <row r="38" spans="1:11" x14ac:dyDescent="0.25">
      <c r="A38" s="97">
        <f t="shared" si="1"/>
        <v>36</v>
      </c>
      <c r="B38" s="72" t="s">
        <v>108</v>
      </c>
      <c r="C38" s="80" t="s">
        <v>211</v>
      </c>
      <c r="D38" s="94">
        <v>0</v>
      </c>
      <c r="E38" s="94">
        <v>0</v>
      </c>
      <c r="F38" s="52" t="s">
        <v>115</v>
      </c>
      <c r="G38" s="52" t="s">
        <v>141</v>
      </c>
      <c r="H38" s="68" t="str">
        <f t="shared" si="2"/>
        <v xml:space="preserve">"Load SD Scan", </v>
      </c>
      <c r="I38" s="69" t="str">
        <f t="shared" si="3"/>
        <v xml:space="preserve">NULL, </v>
      </c>
      <c r="J38" s="69" t="str">
        <f t="shared" si="4"/>
        <v xml:space="preserve">&amp;loadScanDriver, </v>
      </c>
      <c r="K38" s="63" t="str">
        <f t="shared" si="6"/>
        <v xml:space="preserve">  {"Load SD Scan", m_sd_card, NULL, &amp;loadScanDriver, 0, 0},</v>
      </c>
    </row>
    <row r="39" spans="1:11" x14ac:dyDescent="0.25">
      <c r="A39" s="97">
        <f t="shared" si="1"/>
        <v>37</v>
      </c>
      <c r="B39" s="72" t="s">
        <v>109</v>
      </c>
      <c r="C39" s="80" t="s">
        <v>211</v>
      </c>
      <c r="D39" s="94">
        <v>0</v>
      </c>
      <c r="E39" s="94">
        <v>0</v>
      </c>
      <c r="F39" s="52" t="s">
        <v>115</v>
      </c>
      <c r="G39" s="62" t="s">
        <v>142</v>
      </c>
      <c r="H39" s="68" t="str">
        <f t="shared" si="2"/>
        <v xml:space="preserve">"Flash SD Scan", </v>
      </c>
      <c r="I39" s="69" t="str">
        <f t="shared" si="3"/>
        <v xml:space="preserve">NULL, </v>
      </c>
      <c r="J39" s="69" t="str">
        <f t="shared" si="4"/>
        <v xml:space="preserve">&amp;flashScanDriver, </v>
      </c>
      <c r="K39" s="63" t="str">
        <f t="shared" si="6"/>
        <v xml:space="preserve">  {"Flash SD Scan", m_sd_card, NULL, &amp;flashScanDriver, 0, 0},</v>
      </c>
    </row>
    <row r="40" spans="1:11" x14ac:dyDescent="0.25">
      <c r="A40" s="97">
        <f t="shared" si="1"/>
        <v>38</v>
      </c>
      <c r="B40" s="72" t="s">
        <v>110</v>
      </c>
      <c r="C40" s="80" t="s">
        <v>211</v>
      </c>
      <c r="D40" s="94">
        <v>0</v>
      </c>
      <c r="E40" s="94">
        <v>0</v>
      </c>
      <c r="F40" s="52" t="s">
        <v>115</v>
      </c>
      <c r="G40" s="62" t="s">
        <v>143</v>
      </c>
      <c r="H40" s="68" t="str">
        <f t="shared" si="2"/>
        <v xml:space="preserve">"Flash FPGA", </v>
      </c>
      <c r="I40" s="69" t="str">
        <f t="shared" si="3"/>
        <v xml:space="preserve">NULL, </v>
      </c>
      <c r="J40" s="69" t="str">
        <f t="shared" si="4"/>
        <v xml:space="preserve">&amp;flashFPGA, </v>
      </c>
      <c r="K40" s="63" t="str">
        <f t="shared" si="6"/>
        <v xml:space="preserve">  {"Flash FPGA", m_sd_card, NULL, &amp;flashFPGA, 0, 0},</v>
      </c>
    </row>
    <row r="41" spans="1:11" x14ac:dyDescent="0.25">
      <c r="A41" s="97">
        <f t="shared" si="1"/>
        <v>39</v>
      </c>
      <c r="B41" s="72" t="s">
        <v>113</v>
      </c>
      <c r="C41" s="80" t="s">
        <v>211</v>
      </c>
      <c r="D41" s="94">
        <v>0</v>
      </c>
      <c r="E41" s="94">
        <v>0</v>
      </c>
      <c r="F41" s="52" t="s">
        <v>115</v>
      </c>
      <c r="G41" s="62" t="s">
        <v>144</v>
      </c>
      <c r="H41" s="68" t="str">
        <f t="shared" si="2"/>
        <v xml:space="preserve">"Flash Other", </v>
      </c>
      <c r="I41" s="69" t="str">
        <f t="shared" si="3"/>
        <v xml:space="preserve">NULL, </v>
      </c>
      <c r="J41" s="69" t="str">
        <f t="shared" si="4"/>
        <v xml:space="preserve">&amp;flashOther, </v>
      </c>
      <c r="K41" s="63" t="str">
        <f t="shared" si="6"/>
        <v xml:space="preserve">  {"Flash Other", m_sd_card, NULL, &amp;flashOther, 0, 0},</v>
      </c>
    </row>
    <row r="42" spans="1:11" x14ac:dyDescent="0.25">
      <c r="A42" s="97">
        <f t="shared" si="1"/>
        <v>40</v>
      </c>
      <c r="B42" s="72" t="s">
        <v>111</v>
      </c>
      <c r="C42" s="80" t="s">
        <v>211</v>
      </c>
      <c r="D42" s="94">
        <v>0</v>
      </c>
      <c r="E42" s="94">
        <v>0</v>
      </c>
      <c r="F42" s="52" t="s">
        <v>115</v>
      </c>
      <c r="G42" s="52" t="s">
        <v>145</v>
      </c>
      <c r="H42" s="68" t="str">
        <f t="shared" si="2"/>
        <v xml:space="preserve">"Reload FPGA", </v>
      </c>
      <c r="I42" s="69" t="str">
        <f t="shared" si="3"/>
        <v xml:space="preserve">NULL, </v>
      </c>
      <c r="J42" s="69" t="str">
        <f t="shared" si="4"/>
        <v xml:space="preserve">&amp;organReset, </v>
      </c>
      <c r="K42" s="63" t="str">
        <f t="shared" si="6"/>
        <v xml:space="preserve">  {"Reload FPGA", m_sd_card, NULL, &amp;organReset, 0, 0},</v>
      </c>
    </row>
    <row r="43" spans="1:11" x14ac:dyDescent="0.25">
      <c r="A43" s="97">
        <f t="shared" si="1"/>
        <v>41</v>
      </c>
      <c r="B43" s="72" t="s">
        <v>112</v>
      </c>
      <c r="C43" s="80" t="s">
        <v>211</v>
      </c>
      <c r="D43" s="94">
        <v>0</v>
      </c>
      <c r="E43" s="94">
        <v>0</v>
      </c>
      <c r="F43" s="52" t="s">
        <v>115</v>
      </c>
      <c r="G43" s="52" t="s">
        <v>115</v>
      </c>
      <c r="H43" s="68" t="str">
        <f t="shared" si="2"/>
        <v xml:space="preserve">"Test", </v>
      </c>
      <c r="I43" s="69" t="str">
        <f t="shared" si="3"/>
        <v xml:space="preserve">NULL, </v>
      </c>
      <c r="J43" s="69" t="str">
        <f t="shared" si="4"/>
        <v xml:space="preserve">NULL, </v>
      </c>
      <c r="K43" s="63" t="str">
        <f t="shared" si="6"/>
        <v xml:space="preserve">  {"Test", m_sd_card, NULL, NULL, 0, 0},</v>
      </c>
    </row>
    <row r="44" spans="1:11" x14ac:dyDescent="0.25">
      <c r="A44" s="97">
        <f t="shared" si="1"/>
        <v>42</v>
      </c>
      <c r="B44" s="85" t="s">
        <v>146</v>
      </c>
      <c r="C44" s="86" t="s">
        <v>211</v>
      </c>
      <c r="D44" s="50">
        <v>-1</v>
      </c>
      <c r="E44" s="50">
        <v>-1</v>
      </c>
      <c r="F44" s="52" t="s">
        <v>115</v>
      </c>
      <c r="G44" s="52" t="s">
        <v>115</v>
      </c>
      <c r="H44" s="68" t="str">
        <f t="shared" ref="H44" si="15">CONCATENATE("""",B44,""", ")</f>
        <v xml:space="preserve">"SD Card Info", </v>
      </c>
      <c r="I44" s="69" t="str">
        <f t="shared" ref="I44" si="16">IF(F44="NULL",CONCATENATE(F44,", "),CONCATENATE("&amp;",F44,", "))</f>
        <v xml:space="preserve">NULL, </v>
      </c>
      <c r="J44" s="69" t="str">
        <f t="shared" ref="J44" si="17">IF(G44="NULL",CONCATENATE(G44,", "),CONCATENATE("&amp;",G44,", "))</f>
        <v xml:space="preserve">NULL, </v>
      </c>
      <c r="K44" s="63" t="str">
        <f t="shared" ref="K44" si="18">CONCATENATE("  {",H44,C44,", ",I44,J44,D44,", ",E44,"},")</f>
        <v xml:space="preserve">  {"SD Card Info", m_sd_card, NULL, NULL, -1, -1},</v>
      </c>
    </row>
    <row r="45" spans="1:11" x14ac:dyDescent="0.25">
      <c r="A45" s="97">
        <f t="shared" si="1"/>
        <v>43</v>
      </c>
      <c r="B45" s="70" t="s">
        <v>4</v>
      </c>
      <c r="C45" s="80" t="s">
        <v>157</v>
      </c>
      <c r="D45" s="38">
        <v>0</v>
      </c>
      <c r="E45" s="84" t="s">
        <v>26</v>
      </c>
      <c r="F45" s="52" t="s">
        <v>198</v>
      </c>
      <c r="G45" s="52" t="s">
        <v>115</v>
      </c>
      <c r="H45" s="68" t="str">
        <f t="shared" si="2"/>
        <v xml:space="preserve">"Kbd Driver", </v>
      </c>
      <c r="I45" s="69" t="str">
        <f t="shared" si="3"/>
        <v xml:space="preserve">&amp;boardInfo.scan_driverIdx, </v>
      </c>
      <c r="J45" s="69" t="str">
        <f t="shared" si="4"/>
        <v xml:space="preserve">NULL, </v>
      </c>
      <c r="K45" s="63" t="str">
        <f t="shared" si="6"/>
        <v xml:space="preserve">  {"Kbd Driver", m_kbd_driver, &amp;boardInfo.scan_driverIdx, NULL, 0, drv_custom},</v>
      </c>
    </row>
    <row r="46" spans="1:11" x14ac:dyDescent="0.25">
      <c r="A46" s="97">
        <f t="shared" si="1"/>
        <v>44</v>
      </c>
      <c r="B46" s="71" t="s">
        <v>5</v>
      </c>
      <c r="C46" s="80" t="s">
        <v>157</v>
      </c>
      <c r="D46" s="38">
        <v>1</v>
      </c>
      <c r="E46" s="38">
        <v>40</v>
      </c>
      <c r="F46" s="52" t="s">
        <v>115</v>
      </c>
      <c r="G46" s="52" t="s">
        <v>115</v>
      </c>
      <c r="H46" s="68" t="str">
        <f t="shared" si="2"/>
        <v xml:space="preserve">"Velocity Min", </v>
      </c>
      <c r="I46" s="69" t="str">
        <f t="shared" si="3"/>
        <v xml:space="preserve">NULL, </v>
      </c>
      <c r="J46" s="69" t="str">
        <f t="shared" si="4"/>
        <v xml:space="preserve">NULL, </v>
      </c>
      <c r="K46" s="63" t="str">
        <f t="shared" si="6"/>
        <v xml:space="preserve">  {"Velocity Min", m_kbd_driver, NULL, NULL, 1, 40},</v>
      </c>
    </row>
    <row r="47" spans="1:11" x14ac:dyDescent="0.25">
      <c r="A47" s="97">
        <f t="shared" si="1"/>
        <v>45</v>
      </c>
      <c r="B47" s="71" t="s">
        <v>29</v>
      </c>
      <c r="C47" s="80" t="s">
        <v>157</v>
      </c>
      <c r="D47" s="38">
        <v>1</v>
      </c>
      <c r="E47" s="38">
        <v>40</v>
      </c>
      <c r="F47" s="52" t="s">
        <v>115</v>
      </c>
      <c r="G47" s="52" t="s">
        <v>115</v>
      </c>
      <c r="H47" s="68" t="str">
        <f t="shared" si="2"/>
        <v xml:space="preserve">"Velocity MaxAdj", </v>
      </c>
      <c r="I47" s="69" t="str">
        <f t="shared" si="3"/>
        <v xml:space="preserve">NULL, </v>
      </c>
      <c r="J47" s="69" t="str">
        <f t="shared" si="4"/>
        <v xml:space="preserve">NULL, </v>
      </c>
      <c r="K47" s="63" t="str">
        <f t="shared" si="6"/>
        <v xml:space="preserve">  {"Velocity MaxAdj", m_kbd_driver, NULL, NULL, 1, 40},</v>
      </c>
    </row>
    <row r="48" spans="1:11" s="50" customFormat="1" x14ac:dyDescent="0.25">
      <c r="A48" s="97">
        <f t="shared" si="1"/>
        <v>46</v>
      </c>
      <c r="B48" s="71" t="s">
        <v>6</v>
      </c>
      <c r="C48" s="80" t="s">
        <v>157</v>
      </c>
      <c r="D48" s="38">
        <v>1</v>
      </c>
      <c r="E48" s="38">
        <v>30</v>
      </c>
      <c r="F48" s="52" t="s">
        <v>199</v>
      </c>
      <c r="G48" s="52" t="s">
        <v>115</v>
      </c>
      <c r="H48" s="68" t="str">
        <f t="shared" si="2"/>
        <v xml:space="preserve">"Velocity Slope", </v>
      </c>
      <c r="I48" s="69" t="str">
        <f t="shared" si="3"/>
        <v xml:space="preserve">&amp;organModel.fatarVelocityFac, </v>
      </c>
      <c r="J48" s="69" t="str">
        <f t="shared" si="4"/>
        <v xml:space="preserve">NULL, </v>
      </c>
      <c r="K48" s="63" t="str">
        <f t="shared" si="6"/>
        <v xml:space="preserve">  {"Velocity Slope", m_kbd_driver, &amp;organModel.fatarVelocityFac, NULL, 1, 30},</v>
      </c>
    </row>
    <row r="49" spans="1:11" s="50" customFormat="1" x14ac:dyDescent="0.25">
      <c r="A49" s="97">
        <f t="shared" si="1"/>
        <v>47</v>
      </c>
      <c r="B49" s="71" t="s">
        <v>224</v>
      </c>
      <c r="C49" s="80" t="s">
        <v>157</v>
      </c>
      <c r="D49" s="38">
        <v>1</v>
      </c>
      <c r="E49" s="38">
        <v>15</v>
      </c>
      <c r="F49" s="52" t="s">
        <v>200</v>
      </c>
      <c r="G49" s="52" t="s">
        <v>115</v>
      </c>
      <c r="H49" s="68" t="str">
        <f t="shared" ref="H49" si="19">CONCATENATE("""",B49,""", ")</f>
        <v xml:space="preserve">"MIDI Channel", </v>
      </c>
      <c r="I49" s="69" t="str">
        <f t="shared" ref="I49" si="20">IF(F49="NULL",CONCATENATE(F49,", "),CONCATENATE("&amp;",F49,", "))</f>
        <v xml:space="preserve">&amp;midiSettings.channel, </v>
      </c>
      <c r="J49" s="69" t="str">
        <f t="shared" ref="J49" si="21">IF(G49="NULL",CONCATENATE(G49,", "),CONCATENATE("&amp;",G49,", "))</f>
        <v xml:space="preserve">NULL, </v>
      </c>
      <c r="K49" s="63" t="str">
        <f t="shared" ref="K49" si="22">CONCATENATE("  {",H49,C49,", ",I49,J49,D49,", ",E49,"},")</f>
        <v xml:space="preserve">  {"MIDI Channel", m_kbd_driver, &amp;midiSettings.channel, NULL, 1, 15},</v>
      </c>
    </row>
    <row r="50" spans="1:11" x14ac:dyDescent="0.25">
      <c r="A50" s="97">
        <f t="shared" si="1"/>
        <v>48</v>
      </c>
      <c r="B50" s="71" t="s">
        <v>14</v>
      </c>
      <c r="C50" s="80" t="s">
        <v>157</v>
      </c>
      <c r="D50" s="38">
        <v>12</v>
      </c>
      <c r="E50" s="38">
        <v>60</v>
      </c>
      <c r="F50" s="52" t="s">
        <v>115</v>
      </c>
      <c r="G50" s="52" t="s">
        <v>115</v>
      </c>
      <c r="H50" s="68" t="str">
        <f t="shared" si="2"/>
        <v xml:space="preserve">"Upper Base", </v>
      </c>
      <c r="I50" s="69" t="str">
        <f t="shared" si="3"/>
        <v xml:space="preserve">NULL, </v>
      </c>
      <c r="J50" s="69" t="str">
        <f t="shared" si="4"/>
        <v xml:space="preserve">NULL, </v>
      </c>
      <c r="K50" s="63" t="str">
        <f t="shared" si="6"/>
        <v xml:space="preserve">  {"Upper Base", m_kbd_driver, NULL, NULL, 12, 60},</v>
      </c>
    </row>
    <row r="51" spans="1:11" x14ac:dyDescent="0.25">
      <c r="A51" s="97">
        <f t="shared" si="1"/>
        <v>49</v>
      </c>
      <c r="B51" s="71" t="s">
        <v>15</v>
      </c>
      <c r="C51" s="80" t="s">
        <v>157</v>
      </c>
      <c r="D51" s="38">
        <v>12</v>
      </c>
      <c r="E51" s="38">
        <v>60</v>
      </c>
      <c r="F51" s="52" t="s">
        <v>115</v>
      </c>
      <c r="G51" s="52" t="s">
        <v>115</v>
      </c>
      <c r="H51" s="68" t="str">
        <f t="shared" si="2"/>
        <v xml:space="preserve">"Lower Base", </v>
      </c>
      <c r="I51" s="69" t="str">
        <f t="shared" si="3"/>
        <v xml:space="preserve">NULL, </v>
      </c>
      <c r="J51" s="69" t="str">
        <f t="shared" si="4"/>
        <v xml:space="preserve">NULL, </v>
      </c>
      <c r="K51" s="63" t="str">
        <f t="shared" si="6"/>
        <v xml:space="preserve">  {"Lower Base", m_kbd_driver, NULL, NULL, 12, 60},</v>
      </c>
    </row>
    <row r="52" spans="1:11" x14ac:dyDescent="0.25">
      <c r="A52" s="97">
        <f t="shared" si="1"/>
        <v>50</v>
      </c>
      <c r="B52" s="71" t="s">
        <v>16</v>
      </c>
      <c r="C52" s="80" t="s">
        <v>157</v>
      </c>
      <c r="D52" s="38">
        <v>12</v>
      </c>
      <c r="E52" s="38">
        <v>60</v>
      </c>
      <c r="F52" s="52" t="s">
        <v>115</v>
      </c>
      <c r="G52" s="52" t="s">
        <v>115</v>
      </c>
      <c r="H52" s="68" t="str">
        <f t="shared" si="2"/>
        <v xml:space="preserve">"Pedal Base", </v>
      </c>
      <c r="I52" s="69" t="str">
        <f t="shared" si="3"/>
        <v xml:space="preserve">NULL, </v>
      </c>
      <c r="J52" s="69" t="str">
        <f t="shared" si="4"/>
        <v xml:space="preserve">NULL, </v>
      </c>
      <c r="K52" s="63" t="str">
        <f t="shared" si="6"/>
        <v xml:space="preserve">  {"Pedal Base", m_kbd_driver, NULL, NULL, 12, 60},</v>
      </c>
    </row>
    <row r="53" spans="1:11" x14ac:dyDescent="0.25">
      <c r="A53" s="97">
        <f t="shared" si="1"/>
        <v>51</v>
      </c>
      <c r="B53" s="89" t="s">
        <v>4</v>
      </c>
      <c r="C53" s="86" t="s">
        <v>157</v>
      </c>
      <c r="D53" s="81">
        <v>-1</v>
      </c>
      <c r="E53" s="81">
        <v>-1</v>
      </c>
      <c r="F53" s="52" t="s">
        <v>115</v>
      </c>
      <c r="G53" s="52" t="s">
        <v>115</v>
      </c>
      <c r="H53" s="68" t="str">
        <f t="shared" ref="H53" si="23">CONCATENATE("""",B53,""", ")</f>
        <v xml:space="preserve">"Kbd Driver", </v>
      </c>
      <c r="I53" s="69" t="str">
        <f t="shared" ref="I53" si="24">IF(F53="NULL",CONCATENATE(F53,", "),CONCATENATE("&amp;",F53,", "))</f>
        <v xml:space="preserve">NULL, </v>
      </c>
      <c r="J53" s="69" t="str">
        <f t="shared" ref="J53" si="25">IF(G53="NULL",CONCATENATE(G53,", "),CONCATENATE("&amp;",G53,", "))</f>
        <v xml:space="preserve">NULL, </v>
      </c>
      <c r="K53" s="63" t="str">
        <f t="shared" ref="K53" si="26">CONCATENATE("  {",H53,C53,", ",I53,J53,D53,", ",E53,"},")</f>
        <v xml:space="preserve">  {"Kbd Driver", m_kbd_driver, NULL, NULL, -1, -1},</v>
      </c>
    </row>
    <row r="54" spans="1:11" s="28" customFormat="1" x14ac:dyDescent="0.25">
      <c r="A54" s="86">
        <f t="shared" si="1"/>
        <v>52</v>
      </c>
      <c r="E54" s="40"/>
      <c r="F54" s="41"/>
      <c r="G54" s="41"/>
      <c r="H54" s="40"/>
      <c r="I54" s="66"/>
      <c r="J54" s="66"/>
      <c r="K54" s="40" t="s">
        <v>18</v>
      </c>
    </row>
    <row r="55" spans="1:11" x14ac:dyDescent="0.25">
      <c r="A55" s="98" t="s">
        <v>223</v>
      </c>
      <c r="B55" s="43" t="s">
        <v>222</v>
      </c>
      <c r="C55" s="80" t="s">
        <v>221</v>
      </c>
      <c r="D55" s="86">
        <v>-1</v>
      </c>
      <c r="E55" s="86">
        <v>-1</v>
      </c>
      <c r="F55" s="41" t="s">
        <v>220</v>
      </c>
    </row>
    <row r="56" spans="1:11" x14ac:dyDescent="0.25">
      <c r="A56" s="98" t="s">
        <v>223</v>
      </c>
      <c r="B56" s="43" t="s">
        <v>222</v>
      </c>
      <c r="C56" s="80" t="s">
        <v>221</v>
      </c>
      <c r="D56" s="95">
        <v>0</v>
      </c>
      <c r="E56" s="95">
        <v>0</v>
      </c>
      <c r="F56" s="41" t="s">
        <v>219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"/>
  <sheetViews>
    <sheetView zoomScaleNormal="100" workbookViewId="0">
      <selection sqref="A1:XFD1048576"/>
    </sheetView>
  </sheetViews>
  <sheetFormatPr baseColWidth="10" defaultRowHeight="15" x14ac:dyDescent="0.25"/>
  <cols>
    <col min="1" max="1" width="10.28515625" style="3" customWidth="1"/>
    <col min="2" max="2" width="16.7109375" style="1" customWidth="1"/>
    <col min="3" max="3" width="11.5703125" style="1" customWidth="1"/>
    <col min="4" max="4" width="8.28515625" style="1" customWidth="1"/>
    <col min="5" max="5" width="12.5703125" style="1" customWidth="1"/>
    <col min="6" max="7" width="26" style="1" customWidth="1"/>
    <col min="8" max="8" width="22.85546875" style="10" customWidth="1"/>
    <col min="9" max="9" width="25.42578125" style="10" customWidth="1"/>
    <col min="10" max="10" width="25.42578125" style="11" customWidth="1"/>
    <col min="11" max="11" width="25.42578125" style="10" customWidth="1"/>
    <col min="12" max="12" width="21.28515625" style="11" customWidth="1"/>
    <col min="13" max="13" width="41.5703125" style="10" customWidth="1"/>
    <col min="14" max="14" width="20.7109375" style="10" customWidth="1"/>
    <col min="15" max="15" width="9.7109375" style="10" customWidth="1"/>
    <col min="16" max="16" width="39.7109375" style="10" customWidth="1"/>
    <col min="17" max="16384" width="11.42578125" style="10"/>
  </cols>
  <sheetData>
    <row r="1" spans="1:16" s="6" customFormat="1" ht="45.75" customHeight="1" x14ac:dyDescent="0.2">
      <c r="A1" s="5" t="s">
        <v>0</v>
      </c>
      <c r="B1" s="5" t="s">
        <v>28</v>
      </c>
      <c r="C1" s="9" t="s">
        <v>20</v>
      </c>
      <c r="D1" s="9" t="s">
        <v>21</v>
      </c>
      <c r="E1" s="9" t="s">
        <v>22</v>
      </c>
      <c r="F1" s="47" t="s">
        <v>13</v>
      </c>
      <c r="G1" s="7" t="s">
        <v>23</v>
      </c>
      <c r="H1" s="8" t="s">
        <v>25</v>
      </c>
      <c r="I1" s="7" t="s">
        <v>19</v>
      </c>
      <c r="J1" s="35" t="s">
        <v>136</v>
      </c>
      <c r="K1" s="7" t="s">
        <v>140</v>
      </c>
      <c r="L1" s="35" t="s">
        <v>166</v>
      </c>
      <c r="M1" s="8" t="s">
        <v>163</v>
      </c>
      <c r="N1" s="42" t="s">
        <v>158</v>
      </c>
      <c r="O1" s="1"/>
      <c r="P1" s="1"/>
    </row>
    <row r="2" spans="1:16" x14ac:dyDescent="0.25">
      <c r="A2" s="2">
        <v>0</v>
      </c>
      <c r="B2" s="1" t="s">
        <v>81</v>
      </c>
      <c r="C2" s="4" t="str">
        <f>N3</f>
        <v>m_upper_db_16</v>
      </c>
      <c r="D2" s="1">
        <v>1</v>
      </c>
      <c r="E2" s="1">
        <v>0</v>
      </c>
      <c r="F2" s="63" t="str">
        <f>CONCATENATE("  { """,B2,""" },  // #",A2," ",IF(C2&lt;0," EXIT SUBM",""))</f>
        <v xml:space="preserve">  { "Upper DBs" },  // #0 </v>
      </c>
      <c r="G2" s="64" t="str">
        <f>CONCATENATE("  ",D2,", // #",A2," = ",B2,IF(C2&lt;0," EXIT ",""))</f>
        <v xml:space="preserve">  1, // #0 = Upper DBs</v>
      </c>
      <c r="H2" s="64" t="str">
        <f>CONCATENATE("  ",E2,", // #",A2," = ",B2,IF(C2&lt;0," EXIT ",""))</f>
        <v xml:space="preserve">  0, // #0 = Upper DBs</v>
      </c>
      <c r="I2" s="64" t="str">
        <f>CONCATENATE("  ",C2,", // #",A2," = ",B2,IF(C2&lt;0," EXIT ",""))</f>
        <v xml:space="preserve">  m_upper_db_16, // #0 = Upper DBs</v>
      </c>
      <c r="J2" s="16" t="s">
        <v>115</v>
      </c>
      <c r="K2" s="64" t="str">
        <f>IF(J2 = "NULL",CONCATENATE("  ",J2,", // #",A2," = ",B2),CONCATENATE("  &amp;",J2,", // ",B2))</f>
        <v xml:space="preserve">  NULL, // #0 = Upper DBs</v>
      </c>
      <c r="L2" s="16" t="s">
        <v>115</v>
      </c>
      <c r="M2" s="64" t="str">
        <f>CONCATENATE("  ",L2,", // #",A2," = ",B2,IF(C2&lt;0," EXIT ",""))</f>
        <v xml:space="preserve">  NULL, // #0 = Upper DBs</v>
      </c>
      <c r="N2" s="40" t="s">
        <v>27</v>
      </c>
      <c r="O2" s="40" t="s">
        <v>159</v>
      </c>
      <c r="P2" s="40" t="s">
        <v>160</v>
      </c>
    </row>
    <row r="3" spans="1:16" x14ac:dyDescent="0.25">
      <c r="A3" s="2">
        <f t="shared" ref="A3:A9" si="0">A2+1</f>
        <v>1</v>
      </c>
      <c r="B3" s="1" t="s">
        <v>82</v>
      </c>
      <c r="C3" s="4" t="str">
        <f>N4</f>
        <v>m_lower_db_16</v>
      </c>
      <c r="D3" s="1">
        <v>1</v>
      </c>
      <c r="E3" s="1">
        <v>16</v>
      </c>
      <c r="F3" s="63" t="str">
        <f>CONCATENATE("  { """,B3,""" },  // #",A3," ",IF(C3&lt;0," EXIT SUBM",""))</f>
        <v xml:space="preserve">  { "Lower DBs" },  // #1 </v>
      </c>
      <c r="G3" s="64" t="str">
        <f>CONCATENATE("  ",D3,", // #",A3," = ",B3,IF(C3&lt;0," EXIT ",""))</f>
        <v xml:space="preserve">  1, // #1 = Lower DBs</v>
      </c>
      <c r="H3" s="64" t="str">
        <f>CONCATENATE("  ",E3,", // #",A3," = ",B3,IF(C3&lt;0," EXIT ",""))</f>
        <v xml:space="preserve">  16, // #1 = Lower DBs</v>
      </c>
      <c r="I3" s="64" t="str">
        <f>CONCATENATE("  ",C3,", // #",A3," = ",B3,IF(C3&lt;0," EXIT ",""))</f>
        <v xml:space="preserve">  m_lower_db_16, // #1 = Lower DBs</v>
      </c>
      <c r="J3" s="16" t="s">
        <v>115</v>
      </c>
      <c r="K3" s="64" t="str">
        <f>IF(J3 = "NULL",CONCATENATE("  ",J3,", // #",A3," = ",B3),CONCATENATE("  &amp;",J3,", // ",B3))</f>
        <v xml:space="preserve">  NULL, // #1 = Lower DBs</v>
      </c>
      <c r="L3" s="16" t="s">
        <v>115</v>
      </c>
      <c r="M3" s="64" t="str">
        <f>CONCATENATE("  ",L3,", // #",A3," = ",B3,IF(C3&lt;0," EXIT ",""))</f>
        <v xml:space="preserve">  NULL, // #1 = Lower DBs</v>
      </c>
      <c r="N3" s="37" t="s">
        <v>153</v>
      </c>
      <c r="O3" s="1">
        <f>A14</f>
        <v>12</v>
      </c>
      <c r="P3" s="18" t="str">
        <f>CONCATENATE("const uint8_t ",N3," = ",O3,";")</f>
        <v>const uint8_t m_upper_db_16 = 12;</v>
      </c>
    </row>
    <row r="4" spans="1:16" x14ac:dyDescent="0.25">
      <c r="A4" s="2">
        <f t="shared" si="0"/>
        <v>2</v>
      </c>
      <c r="B4" s="1" t="s">
        <v>83</v>
      </c>
      <c r="C4" s="4" t="str">
        <f>N5</f>
        <v>m_pedal_db_16</v>
      </c>
      <c r="D4" s="1">
        <v>1</v>
      </c>
      <c r="E4" s="1">
        <v>16</v>
      </c>
      <c r="F4" s="63" t="str">
        <f>CONCATENATE("  { """,B4,""" },  // #",A4," ",IF(C4&lt;0," EXIT SUBM",""))</f>
        <v xml:space="preserve">  { "Pedal DBs" },  // #2 </v>
      </c>
      <c r="G4" s="64" t="str">
        <f>CONCATENATE("  ",D4,", // #",A4," = ",B4,IF(C4&lt;0," EXIT ",""))</f>
        <v xml:space="preserve">  1, // #2 = Pedal DBs</v>
      </c>
      <c r="H4" s="64" t="str">
        <f>CONCATENATE("  ",E4,", // #",A4," = ",B4,IF(C4&lt;0," EXIT ",""))</f>
        <v xml:space="preserve">  16, // #2 = Pedal DBs</v>
      </c>
      <c r="I4" s="64" t="str">
        <f>CONCATENATE("  ",C4,", // #",A4," = ",B4,IF(C4&lt;0," EXIT ",""))</f>
        <v xml:space="preserve">  m_pedal_db_16, // #2 = Pedal DBs</v>
      </c>
      <c r="J4" s="16" t="s">
        <v>115</v>
      </c>
      <c r="K4" s="64" t="str">
        <f>IF(J4 = "NULL",CONCATENATE("  ",J4,", // #",A4," = ",B4),CONCATENATE("  &amp;",J4,", // ",B4))</f>
        <v xml:space="preserve">  NULL, // #2 = Pedal DBs</v>
      </c>
      <c r="L4" s="16" t="s">
        <v>115</v>
      </c>
      <c r="M4" s="64" t="str">
        <f>CONCATENATE("  ",L4,", // #",A4," = ",B4,IF(C4&lt;0," EXIT ",""))</f>
        <v xml:space="preserve">  NULL, // #2 = Pedal DBs</v>
      </c>
      <c r="N4" s="37" t="s">
        <v>154</v>
      </c>
      <c r="O4" s="1">
        <f>A24</f>
        <v>22</v>
      </c>
      <c r="P4" s="18" t="str">
        <f t="shared" ref="P4:P8" si="1">CONCATENATE("const uint8_t ",N4," = ",O4,";")</f>
        <v>const uint8_t m_lower_db_16 = 22;</v>
      </c>
    </row>
    <row r="5" spans="1:16" x14ac:dyDescent="0.25">
      <c r="A5" s="44">
        <f t="shared" si="0"/>
        <v>3</v>
      </c>
      <c r="B5" s="57" t="s">
        <v>174</v>
      </c>
      <c r="C5" s="43">
        <v>0</v>
      </c>
      <c r="D5" s="43">
        <v>0</v>
      </c>
      <c r="E5" s="43">
        <v>127</v>
      </c>
      <c r="F5" s="63" t="str">
        <f>CONCATENATE("  { """,B5,""" },  // #",A5," ",IF(C5&lt;0," EXIT SUBM",""))</f>
        <v xml:space="preserve">  { "Swell Pedal" },  // #3 </v>
      </c>
      <c r="G5" s="64" t="str">
        <f>CONCATENATE("  ",D5,", // #",A5," = ",B5,IF(C5&lt;0," EXIT ",""))</f>
        <v xml:space="preserve">  0, // #3 = Swell Pedal</v>
      </c>
      <c r="H5" s="64" t="str">
        <f>CONCATENATE("  ",E5,", // #",A5," = ",B5,IF(C5&lt;0," EXIT ",""))</f>
        <v xml:space="preserve">  127, // #3 = Swell Pedal</v>
      </c>
      <c r="I5" s="64" t="str">
        <f>CONCATENATE("  ",C5,", // #",A5," = ",B5,IF(C5&lt;0," EXIT ",""))</f>
        <v xml:space="preserve">  0, // #3 = Swell Pedal</v>
      </c>
      <c r="J5" s="52" t="s">
        <v>115</v>
      </c>
      <c r="K5" s="64" t="str">
        <f>IF(J5 = "NULL",CONCATENATE("  ",J5,", // #",A5," = ",B5),CONCATENATE("  &amp;",J5,", // ",B5))</f>
        <v xml:space="preserve">  NULL, // #3 = Swell Pedal</v>
      </c>
      <c r="L5" s="52" t="s">
        <v>115</v>
      </c>
      <c r="M5" s="64" t="str">
        <f>CONCATENATE("  ",L5,", // #",A5," = ",B5,IF(C5&lt;0," EXIT ",""))</f>
        <v xml:space="preserve">  NULL, // #3 = Swell Pedal</v>
      </c>
      <c r="N5" s="37" t="s">
        <v>155</v>
      </c>
      <c r="O5" s="1">
        <f>A34</f>
        <v>32</v>
      </c>
      <c r="P5" s="18" t="str">
        <f t="shared" si="1"/>
        <v>const uint8_t m_pedal_db_16 = 32;</v>
      </c>
    </row>
    <row r="6" spans="1:16" x14ac:dyDescent="0.25">
      <c r="A6" s="44">
        <f t="shared" si="0"/>
        <v>4</v>
      </c>
      <c r="B6" s="26" t="s">
        <v>79</v>
      </c>
      <c r="C6" s="1">
        <v>0</v>
      </c>
      <c r="D6" s="10">
        <v>0</v>
      </c>
      <c r="E6" s="10">
        <v>127</v>
      </c>
      <c r="F6" s="63" t="str">
        <f>CONCATENATE("  { """,B6,""" },  // #",A6," ",IF(C6&lt;0," EXIT SUBM",""))</f>
        <v xml:space="preserve">  { "Master Volume" },  // #4 </v>
      </c>
      <c r="G6" s="64" t="str">
        <f>CONCATENATE("  ",D6,", // #",A6," = ",B6,IF(C6&lt;0," EXIT ",""))</f>
        <v xml:space="preserve">  0, // #4 = Master Volume</v>
      </c>
      <c r="H6" s="64" t="str">
        <f>CONCATENATE("  ",E6,", // #",A6," = ",B6,IF(C6&lt;0," EXIT ",""))</f>
        <v xml:space="preserve">  127, // #4 = Master Volume</v>
      </c>
      <c r="I6" s="64" t="str">
        <f>CONCATENATE("  ",C6,", // #",A6," = ",B6,IF(C6&lt;0," EXIT ",""))</f>
        <v xml:space="preserve">  0, // #4 = Master Volume</v>
      </c>
      <c r="J6" s="36" t="s">
        <v>137</v>
      </c>
      <c r="K6" s="64" t="str">
        <f>IF(J6 = "NULL",CONCATENATE("  ",J6,", // #",A6," = ",B6),CONCATENATE("  &amp;",J6,", // ",B6))</f>
        <v xml:space="preserve">  &amp;setOrganVolumes, // Master Volume</v>
      </c>
      <c r="L6" s="34" t="s">
        <v>161</v>
      </c>
      <c r="M6" s="64" t="str">
        <f>CONCATENATE("  ",L6,", // #",A6," = ",B6,IF(C6&lt;0," EXIT ",""))</f>
        <v xml:space="preserve">  &amp;preamp.masterVolume, // #4 = Master Volume</v>
      </c>
      <c r="N6" s="37" t="s">
        <v>156</v>
      </c>
      <c r="O6" s="1">
        <f>A37</f>
        <v>35</v>
      </c>
      <c r="P6" s="18" t="str">
        <f t="shared" si="1"/>
        <v>const uint8_t m_sd_card_info = 35;</v>
      </c>
    </row>
    <row r="7" spans="1:16" x14ac:dyDescent="0.25">
      <c r="A7" s="44">
        <f t="shared" si="0"/>
        <v>5</v>
      </c>
      <c r="B7" s="27" t="s">
        <v>80</v>
      </c>
      <c r="C7" s="1">
        <v>0</v>
      </c>
      <c r="D7" s="10">
        <v>0</v>
      </c>
      <c r="E7" s="10">
        <v>127</v>
      </c>
      <c r="F7" s="63" t="str">
        <f>CONCATENATE("  { """,B7,""" },  // #",A7," ",IF(C7&lt;0," EXIT SUBM",""))</f>
        <v xml:space="preserve">  { "Amp Gain" },  // #5 </v>
      </c>
      <c r="G7" s="64" t="str">
        <f>CONCATENATE("  ",D7,", // #",A7," = ",B7,IF(C7&lt;0," EXIT ",""))</f>
        <v xml:space="preserve">  0, // #5 = Amp Gain</v>
      </c>
      <c r="H7" s="64" t="str">
        <f>CONCATENATE("  ",E7,", // #",A7," = ",B7,IF(C7&lt;0," EXIT ",""))</f>
        <v xml:space="preserve">  127, // #5 = Amp Gain</v>
      </c>
      <c r="I7" s="64" t="str">
        <f>CONCATENATE("  ",C7,", // #",A7," = ",B7,IF(C7&lt;0," EXIT ",""))</f>
        <v xml:space="preserve">  0, // #5 = Amp Gain</v>
      </c>
      <c r="J7" s="36" t="s">
        <v>148</v>
      </c>
      <c r="K7" s="64" t="str">
        <f>IF(J7 = "NULL",CONCATENATE("  ",J7,", // #",A7," = ",B7),CONCATENATE("  &amp;",J7,", // ",B7))</f>
        <v xml:space="preserve">  &amp;setAmpVolume, // Amp Gain</v>
      </c>
      <c r="L7" s="34" t="s">
        <v>162</v>
      </c>
      <c r="M7" s="64" t="str">
        <f>CONCATENATE("  ",L7,", // #",A7," = ",B7,IF(C7&lt;0," EXIT ",""))</f>
        <v xml:space="preserve">  &amp;preamp.ampVolume, // #5 = Amp Gain</v>
      </c>
      <c r="N7" s="37" t="s">
        <v>157</v>
      </c>
      <c r="O7" s="1">
        <f>A45</f>
        <v>43</v>
      </c>
      <c r="P7" s="18" t="str">
        <f t="shared" si="1"/>
        <v>const uint8_t m_kbd_driver = 43;</v>
      </c>
    </row>
    <row r="8" spans="1:16" s="12" customFormat="1" x14ac:dyDescent="0.25">
      <c r="A8" s="44">
        <f t="shared" si="0"/>
        <v>6</v>
      </c>
      <c r="B8" s="27" t="s">
        <v>114</v>
      </c>
      <c r="C8" s="4" t="str">
        <f>N6</f>
        <v>m_sd_card_info</v>
      </c>
      <c r="D8" s="10">
        <v>0</v>
      </c>
      <c r="E8" s="10">
        <v>127</v>
      </c>
      <c r="F8" s="63" t="str">
        <f>CONCATENATE("  { """,B8,""" },  // #",A8," ",IF(C8&lt;0," EXIT SUBM",""))</f>
        <v xml:space="preserve">  { "SD Flash Tools" },  // #6 </v>
      </c>
      <c r="G8" s="64" t="str">
        <f>CONCATENATE("  ",D8,", // #",A8," = ",B8,IF(C8&lt;0," EXIT ",""))</f>
        <v xml:space="preserve">  0, // #6 = SD Flash Tools</v>
      </c>
      <c r="H8" s="64" t="str">
        <f>CONCATENATE("  ",E8,", // #",A8," = ",B8,IF(C8&lt;0," EXIT ",""))</f>
        <v xml:space="preserve">  127, // #6 = SD Flash Tools</v>
      </c>
      <c r="I8" s="64" t="str">
        <f>CONCATENATE("  ",C8,", // #",A8," = ",B8,IF(C8&lt;0," EXIT ",""))</f>
        <v xml:space="preserve">  m_sd_card_info, // #6 = SD Flash Tools</v>
      </c>
      <c r="J8" s="16" t="s">
        <v>115</v>
      </c>
      <c r="K8" s="64" t="str">
        <f>IF(J8 = "NULL",CONCATENATE("  ",J8,", // #",A8," = ",B8),CONCATENATE("  &amp;",J8,", // ",B8))</f>
        <v xml:space="preserve">  NULL, // #6 = SD Flash Tools</v>
      </c>
      <c r="L8" s="16" t="s">
        <v>115</v>
      </c>
      <c r="M8" s="64" t="str">
        <f>CONCATENATE("  ",L8,", // #",A8," = ",B8,IF(C8&lt;0," EXIT ",""))</f>
        <v xml:space="preserve">  NULL, // #6 = SD Flash Tools</v>
      </c>
      <c r="N8" s="37" t="s">
        <v>165</v>
      </c>
      <c r="O8" s="12">
        <f>A13</f>
        <v>11</v>
      </c>
      <c r="P8" s="18" t="str">
        <f t="shared" si="1"/>
        <v>const uint8_t m_menu_end = 11;</v>
      </c>
    </row>
    <row r="9" spans="1:16" s="12" customFormat="1" x14ac:dyDescent="0.25">
      <c r="A9" s="44">
        <f t="shared" si="0"/>
        <v>7</v>
      </c>
      <c r="B9" s="1" t="s">
        <v>30</v>
      </c>
      <c r="C9" s="4" t="str">
        <f>N7</f>
        <v>m_kbd_driver</v>
      </c>
      <c r="D9" s="1">
        <v>0</v>
      </c>
      <c r="E9" s="17">
        <v>0</v>
      </c>
      <c r="F9" s="63" t="str">
        <f>CONCATENATE("  { """,B9,""" },  // #",A9," ",IF(C9&lt;0," EXIT SUBM",""))</f>
        <v xml:space="preserve">  { "Keyboard" },  // #7 </v>
      </c>
      <c r="G9" s="64" t="str">
        <f>CONCATENATE("  ",D9,", // #",A9," = ",B9,IF(C9&lt;0," EXIT ",""))</f>
        <v xml:space="preserve">  0, // #7 = Keyboard</v>
      </c>
      <c r="H9" s="64" t="str">
        <f>CONCATENATE("  ",E9,", // #",A9," = ",B9,IF(C9&lt;0," EXIT ",""))</f>
        <v xml:space="preserve">  0, // #7 = Keyboard</v>
      </c>
      <c r="I9" s="64" t="str">
        <f>CONCATENATE("  ",C9,", // #",A9," = ",B9,IF(C9&lt;0," EXIT ",""))</f>
        <v xml:space="preserve">  m_kbd_driver, // #7 = Keyboard</v>
      </c>
      <c r="J9" s="16" t="s">
        <v>115</v>
      </c>
      <c r="K9" s="64" t="str">
        <f>IF(J9 = "NULL",CONCATENATE("  ",J9,", // #",A9," = ",B9),CONCATENATE("  &amp;",J9,", // ",B9))</f>
        <v xml:space="preserve">  NULL, // #7 = Keyboard</v>
      </c>
      <c r="L9" s="16" t="s">
        <v>115</v>
      </c>
      <c r="M9" s="64" t="str">
        <f>CONCATENATE("  ",L9,", // #",A9," = ",B9,IF(C9&lt;0," EXIT ",""))</f>
        <v xml:space="preserve">  NULL, // #7 = Keyboard</v>
      </c>
    </row>
    <row r="10" spans="1:16" s="12" customFormat="1" x14ac:dyDescent="0.25">
      <c r="A10" s="2">
        <f>A9+1</f>
        <v>8</v>
      </c>
      <c r="B10" s="1" t="s">
        <v>149</v>
      </c>
      <c r="C10" s="43">
        <v>0</v>
      </c>
      <c r="D10" s="1">
        <v>0</v>
      </c>
      <c r="E10" s="17">
        <v>15</v>
      </c>
      <c r="F10" s="63" t="str">
        <f>CONCATENATE("  { """,B10,""" },  // #",A10," ",IF(C10&lt;0," EXIT SUBM",""))</f>
        <v xml:space="preserve">  { "Organ Model" },  // #8 </v>
      </c>
      <c r="G10" s="64" t="str">
        <f>CONCATENATE("  ",D10,", // #",A10," = ",B10,IF(C10&lt;0," EXIT ",""))</f>
        <v xml:space="preserve">  0, // #8 = Organ Model</v>
      </c>
      <c r="H10" s="64" t="str">
        <f>CONCATENATE("  ",E10,", // #",A10," = ",B10,IF(C10&lt;0," EXIT ",""))</f>
        <v xml:space="preserve">  15, // #8 = Organ Model</v>
      </c>
      <c r="I10" s="64" t="str">
        <f>CONCATENATE("  ",C10,", // #",A10," = ",B10,IF(C10&lt;0," EXIT ",""))</f>
        <v xml:space="preserve">  0, // #8 = Organ Model</v>
      </c>
      <c r="J10" s="16" t="s">
        <v>150</v>
      </c>
      <c r="K10" s="64" t="str">
        <f>IF(J10 = "NULL",CONCATENATE("  ",J10,", // #",A10," = ",B10),CONCATENATE("  &amp;",J10,", // ",B10))</f>
        <v xml:space="preserve">  &amp;menuOrganModel, // Organ Model</v>
      </c>
      <c r="L10" s="16" t="s">
        <v>172</v>
      </c>
      <c r="M10" s="64" t="str">
        <f>CONCATENATE("  ",L10,", // #",A10," = ",B10,IF(C10&lt;0," EXIT ",""))</f>
        <v xml:space="preserve">  &amp;tabs.organModel, // #8 = Organ Model</v>
      </c>
    </row>
    <row r="11" spans="1:16" x14ac:dyDescent="0.25">
      <c r="A11" s="2">
        <f>A10+1</f>
        <v>9</v>
      </c>
      <c r="B11" s="1" t="s">
        <v>151</v>
      </c>
      <c r="C11" s="43">
        <v>0</v>
      </c>
      <c r="D11" s="1">
        <v>0</v>
      </c>
      <c r="E11" s="17">
        <v>15</v>
      </c>
      <c r="F11" s="63" t="str">
        <f>CONCATENATE("  { """,B11,""" },  // #",A11," ",IF(C11&lt;0," EXIT SUBM",""))</f>
        <v xml:space="preserve">  { "Speaker Model" },  // #9 </v>
      </c>
      <c r="G11" s="64" t="str">
        <f>CONCATENATE("  ",D11,", // #",A11," = ",B11,IF(C11&lt;0," EXIT ",""))</f>
        <v xml:space="preserve">  0, // #9 = Speaker Model</v>
      </c>
      <c r="H11" s="64" t="str">
        <f>CONCATENATE("  ",E11,", // #",A11," = ",B11,IF(C11&lt;0," EXIT ",""))</f>
        <v xml:space="preserve">  15, // #9 = Speaker Model</v>
      </c>
      <c r="I11" s="64" t="str">
        <f>CONCATENATE("  ",C11,", // #",A11," = ",B11,IF(C11&lt;0," EXIT ",""))</f>
        <v xml:space="preserve">  0, // #9 = Speaker Model</v>
      </c>
      <c r="J11" s="16" t="s">
        <v>152</v>
      </c>
      <c r="K11" s="64" t="str">
        <f>IF(J11 = "NULL",CONCATENATE("  ",J11,", // #",A11," = ",B11),CONCATENATE("  &amp;",J11,", // ",B11))</f>
        <v xml:space="preserve">  &amp;menuSpeakerModel, // Speaker Model</v>
      </c>
      <c r="L11" s="52" t="s">
        <v>173</v>
      </c>
      <c r="M11" s="64" t="str">
        <f>CONCATENATE("  ",L11,", // #",A11," = ",B11,IF(C11&lt;0," EXIT ",""))</f>
        <v xml:space="preserve">  &amp;tabs.speakerModel, // #9 = Speaker Model</v>
      </c>
    </row>
    <row r="12" spans="1:16" x14ac:dyDescent="0.25">
      <c r="A12" s="2">
        <f>A11+1</f>
        <v>10</v>
      </c>
      <c r="B12" s="1" t="s">
        <v>77</v>
      </c>
      <c r="C12" s="1">
        <v>0</v>
      </c>
      <c r="D12" s="1">
        <v>-1</v>
      </c>
      <c r="E12" s="1">
        <v>31</v>
      </c>
      <c r="F12" s="63" t="str">
        <f>CONCATENATE("  { """,B12,""" },  // #",A12," ",IF(C12&lt;0," EXIT SUBM",""))</f>
        <v xml:space="preserve">  { "Pitchwheel Pot" },  // #10 </v>
      </c>
      <c r="G12" s="64" t="str">
        <f>CONCATENATE("  ",D12,", // #",A12," = ",B12,IF(C12&lt;0," EXIT ",""))</f>
        <v xml:space="preserve">  -1, // #10 = Pitchwheel Pot</v>
      </c>
      <c r="H12" s="64" t="str">
        <f>CONCATENATE("  ",E12,", // #",A12," = ",B12,IF(C12&lt;0," EXIT ",""))</f>
        <v xml:space="preserve">  31, // #10 = Pitchwheel Pot</v>
      </c>
      <c r="I12" s="64" t="str">
        <f>CONCATENATE("  ",C12,", // #",A12," = ",B12,IF(C12&lt;0," EXIT ",""))</f>
        <v xml:space="preserve">  0, // #10 = Pitchwheel Pot</v>
      </c>
      <c r="J12" s="16" t="s">
        <v>115</v>
      </c>
      <c r="K12" s="64" t="str">
        <f>IF(J12 = "NULL",CONCATENATE("  ",J12,", // #",A12," = ",B12),CONCATENATE("  &amp;",J12,", // ",B12))</f>
        <v xml:space="preserve">  NULL, // #10 = Pitchwheel Pot</v>
      </c>
      <c r="L12" s="16" t="s">
        <v>115</v>
      </c>
      <c r="M12" s="64" t="str">
        <f>CONCATENATE("  ",L12,", // #",A12," = ",B12,IF(C12&lt;0," EXIT ",""))</f>
        <v xml:space="preserve">  NULL, // #10 = Pitchwheel Pot</v>
      </c>
    </row>
    <row r="13" spans="1:16" x14ac:dyDescent="0.25">
      <c r="A13" s="2">
        <f>A12+1</f>
        <v>11</v>
      </c>
      <c r="B13" s="19" t="s">
        <v>104</v>
      </c>
      <c r="C13" s="19">
        <v>0</v>
      </c>
      <c r="D13" s="19">
        <v>0</v>
      </c>
      <c r="E13" s="19">
        <v>0</v>
      </c>
      <c r="F13" s="63" t="str">
        <f>CONCATENATE("  { """,B13,""" },  // #",A13," ",IF(C13&lt;0," EXIT SUBM",""))</f>
        <v xml:space="preserve">  { "End" },  // #11 </v>
      </c>
      <c r="G13" s="65" t="str">
        <f>CONCATENATE("  ",D13,", // #",A13," = ",B13,IF(C13&lt;0," EXIT ",""))</f>
        <v xml:space="preserve">  0, // #11 = End</v>
      </c>
      <c r="H13" s="65" t="str">
        <f>CONCATENATE("  ",E13,", // #",A13," = ",B13,IF(C13&lt;0," EXIT ",""))</f>
        <v xml:space="preserve">  0, // #11 = End</v>
      </c>
      <c r="I13" s="65" t="str">
        <f>CONCATENATE("  ",C13,", // #",A13," = ",B13,IF(C13&lt;0," EXIT ",""))</f>
        <v xml:space="preserve">  0, // #11 = End</v>
      </c>
      <c r="J13" s="16" t="s">
        <v>115</v>
      </c>
      <c r="K13" s="64" t="str">
        <f>IF(J13 = "NULL",CONCATENATE("  ",J13,", // #",A13," = ",B13),CONCATENATE("  &amp;",J13,", // ",B13))</f>
        <v xml:space="preserve">  NULL, // #11 = End</v>
      </c>
      <c r="L13" s="16" t="s">
        <v>115</v>
      </c>
      <c r="M13" s="64" t="str">
        <f>CONCATENATE("  ",L13,", // #",A13," = ",B13,IF(C13&lt;0," EXIT ",""))</f>
        <v xml:space="preserve">  NULL, // #11 = End</v>
      </c>
    </row>
    <row r="14" spans="1:16" x14ac:dyDescent="0.25">
      <c r="A14" s="2">
        <f>A13+1</f>
        <v>12</v>
      </c>
      <c r="B14" s="30" t="s">
        <v>84</v>
      </c>
      <c r="C14" s="1">
        <v>0</v>
      </c>
      <c r="D14" s="10">
        <v>0</v>
      </c>
      <c r="E14" s="10">
        <v>127</v>
      </c>
      <c r="F14" s="63" t="str">
        <f>CONCATENATE("  { """,B14,""" },  // #",A14," ",IF(C14&lt;0," EXIT SUBM",""))</f>
        <v xml:space="preserve">  { "Upper DB 16" },  // #12 </v>
      </c>
      <c r="G14" s="64" t="str">
        <f>CONCATENATE("  ",D14,", // #",A14," = ",B14,IF(C14&lt;0," EXIT ",""))</f>
        <v xml:space="preserve">  0, // #12 = Upper DB 16</v>
      </c>
      <c r="H14" s="64" t="str">
        <f>CONCATENATE("  ",E14,", // #",A14," = ",B14,IF(C14&lt;0," EXIT ",""))</f>
        <v xml:space="preserve">  127, // #12 = Upper DB 16</v>
      </c>
      <c r="I14" s="64" t="str">
        <f>CONCATENATE("  ",C14,", // #",A14," = ",B14,IF(C14&lt;0," EXIT ",""))</f>
        <v xml:space="preserve">  0, // #12 = Upper DB 16</v>
      </c>
      <c r="J14" s="16" t="s">
        <v>138</v>
      </c>
      <c r="K14" s="64" t="str">
        <f>IF(J14 = "NULL",CONCATENATE("  ",J14,", // #",A14," = ",B14),CONCATENATE("  &amp;",J14,", // ",B14))</f>
        <v xml:space="preserve">  &amp;fpga_send_upper_db, // Upper DB 16</v>
      </c>
      <c r="L14" s="16" t="s">
        <v>116</v>
      </c>
      <c r="M14" s="64" t="str">
        <f>CONCATENATE("  ",L14,", // #",A14," = ",B14,IF(C14&lt;0," EXIT ",""))</f>
        <v xml:space="preserve">  &amp;drawbars.upper[0], // #12 = Upper DB 16</v>
      </c>
    </row>
    <row r="15" spans="1:16" x14ac:dyDescent="0.25">
      <c r="A15" s="2">
        <f>A14+1</f>
        <v>13</v>
      </c>
      <c r="B15" s="23" t="s">
        <v>85</v>
      </c>
      <c r="C15" s="1">
        <v>0</v>
      </c>
      <c r="D15" s="10">
        <v>0</v>
      </c>
      <c r="E15" s="10">
        <v>127</v>
      </c>
      <c r="F15" s="63" t="str">
        <f>CONCATENATE("  { """,B15,""" },  // #",A15," ",IF(C15&lt;0," EXIT SUBM",""))</f>
        <v xml:space="preserve">  { "Upper DB 5 1/3" },  // #13 </v>
      </c>
      <c r="G15" s="64" t="str">
        <f>CONCATENATE("  ",D15,", // #",A15," = ",B15,IF(C15&lt;0," EXIT ",""))</f>
        <v xml:space="preserve">  0, // #13 = Upper DB 5 1/3</v>
      </c>
      <c r="H15" s="64" t="str">
        <f>CONCATENATE("  ",E15,", // #",A15," = ",B15,IF(C15&lt;0," EXIT ",""))</f>
        <v xml:space="preserve">  127, // #13 = Upper DB 5 1/3</v>
      </c>
      <c r="I15" s="64" t="str">
        <f>CONCATENATE("  ",C15,", // #",A15," = ",B15,IF(C15&lt;0," EXIT ",""))</f>
        <v xml:space="preserve">  0, // #13 = Upper DB 5 1/3</v>
      </c>
      <c r="J15" s="16" t="s">
        <v>138</v>
      </c>
      <c r="K15" s="64" t="str">
        <f>IF(J15 = "NULL",CONCATENATE("  ",J15,", // #",A15," = ",B15),CONCATENATE("  &amp;",J15,", // ",B15))</f>
        <v xml:space="preserve">  &amp;fpga_send_upper_db, // Upper DB 5 1/3</v>
      </c>
      <c r="L15" s="16" t="s">
        <v>117</v>
      </c>
      <c r="M15" s="64" t="str">
        <f>CONCATENATE("  ",L15,", // #",A15," = ",B15,IF(C15&lt;0," EXIT ",""))</f>
        <v xml:space="preserve">  &amp;drawbars.upper[1], // #13 = Upper DB 5 1/3</v>
      </c>
    </row>
    <row r="16" spans="1:16" s="12" customFormat="1" x14ac:dyDescent="0.25">
      <c r="A16" s="2">
        <f>A15+1</f>
        <v>14</v>
      </c>
      <c r="B16" s="23" t="s">
        <v>86</v>
      </c>
      <c r="C16" s="1">
        <v>0</v>
      </c>
      <c r="D16" s="10">
        <v>0</v>
      </c>
      <c r="E16" s="10">
        <v>127</v>
      </c>
      <c r="F16" s="63" t="str">
        <f>CONCATENATE("  { """,B16,""" },  // #",A16," ",IF(C16&lt;0," EXIT SUBM",""))</f>
        <v xml:space="preserve">  { "Upper DB 8" },  // #14 </v>
      </c>
      <c r="G16" s="64" t="str">
        <f>CONCATENATE("  ",D16,", // #",A16," = ",B16,IF(C16&lt;0," EXIT ",""))</f>
        <v xml:space="preserve">  0, // #14 = Upper DB 8</v>
      </c>
      <c r="H16" s="64" t="str">
        <f>CONCATENATE("  ",E16,", // #",A16," = ",B16,IF(C16&lt;0," EXIT ",""))</f>
        <v xml:space="preserve">  127, // #14 = Upper DB 8</v>
      </c>
      <c r="I16" s="64" t="str">
        <f>CONCATENATE("  ",C16,", // #",A16," = ",B16,IF(C16&lt;0," EXIT ",""))</f>
        <v xml:space="preserve">  0, // #14 = Upper DB 8</v>
      </c>
      <c r="J16" s="16" t="s">
        <v>138</v>
      </c>
      <c r="K16" s="64" t="str">
        <f>IF(J16 = "NULL",CONCATENATE("  ",J16,", // #",A16," = ",B16),CONCATENATE("  &amp;",J16,", // ",B16))</f>
        <v xml:space="preserve">  &amp;fpga_send_upper_db, // Upper DB 8</v>
      </c>
      <c r="L16" s="16" t="s">
        <v>118</v>
      </c>
      <c r="M16" s="64" t="str">
        <f>CONCATENATE("  ",L16,", // #",A16," = ",B16,IF(C16&lt;0," EXIT ",""))</f>
        <v xml:space="preserve">  &amp;drawbars.upper[2], // #14 = Upper DB 8</v>
      </c>
    </row>
    <row r="17" spans="1:13" x14ac:dyDescent="0.25">
      <c r="A17" s="2">
        <f>A16+1</f>
        <v>15</v>
      </c>
      <c r="B17" s="23" t="s">
        <v>87</v>
      </c>
      <c r="C17" s="1">
        <v>0</v>
      </c>
      <c r="D17" s="10">
        <v>0</v>
      </c>
      <c r="E17" s="10">
        <v>127</v>
      </c>
      <c r="F17" s="63" t="str">
        <f>CONCATENATE("  { """,B17,""" },  // #",A17," ",IF(C17&lt;0," EXIT SUBM",""))</f>
        <v xml:space="preserve">  { "Upper DB 4" },  // #15 </v>
      </c>
      <c r="G17" s="64" t="str">
        <f>CONCATENATE("  ",D17,", // #",A17," = ",B17,IF(C17&lt;0," EXIT ",""))</f>
        <v xml:space="preserve">  0, // #15 = Upper DB 4</v>
      </c>
      <c r="H17" s="64" t="str">
        <f>CONCATENATE("  ",E17,", // #",A17," = ",B17,IF(C17&lt;0," EXIT ",""))</f>
        <v xml:space="preserve">  127, // #15 = Upper DB 4</v>
      </c>
      <c r="I17" s="64" t="str">
        <f>CONCATENATE("  ",C17,", // #",A17," = ",B17,IF(C17&lt;0," EXIT ",""))</f>
        <v xml:space="preserve">  0, // #15 = Upper DB 4</v>
      </c>
      <c r="J17" s="16" t="s">
        <v>138</v>
      </c>
      <c r="K17" s="64" t="str">
        <f>IF(J17 = "NULL",CONCATENATE("  ",J17,", // #",A17," = ",B17),CONCATENATE("  &amp;",J17,", // ",B17))</f>
        <v xml:space="preserve">  &amp;fpga_send_upper_db, // Upper DB 4</v>
      </c>
      <c r="L17" s="16" t="s">
        <v>119</v>
      </c>
      <c r="M17" s="64" t="str">
        <f>CONCATENATE("  ",L17,", // #",A17," = ",B17,IF(C17&lt;0," EXIT ",""))</f>
        <v xml:space="preserve">  &amp;drawbars.upper[3], // #15 = Upper DB 4</v>
      </c>
    </row>
    <row r="18" spans="1:13" x14ac:dyDescent="0.25">
      <c r="A18" s="2">
        <f>A17+1</f>
        <v>16</v>
      </c>
      <c r="B18" s="23" t="s">
        <v>88</v>
      </c>
      <c r="C18" s="1">
        <v>0</v>
      </c>
      <c r="D18" s="10">
        <v>0</v>
      </c>
      <c r="E18" s="10">
        <v>127</v>
      </c>
      <c r="F18" s="63" t="str">
        <f>CONCATENATE("  { """,B18,""" },  // #",A18," ",IF(C18&lt;0," EXIT SUBM",""))</f>
        <v xml:space="preserve">  { "Upper DB 2 2/3" },  // #16 </v>
      </c>
      <c r="G18" s="64" t="str">
        <f>CONCATENATE("  ",D18,", // #",A18," = ",B18,IF(C18&lt;0," EXIT ",""))</f>
        <v xml:space="preserve">  0, // #16 = Upper DB 2 2/3</v>
      </c>
      <c r="H18" s="64" t="str">
        <f>CONCATENATE("  ",E18,", // #",A18," = ",B18,IF(C18&lt;0," EXIT ",""))</f>
        <v xml:space="preserve">  127, // #16 = Upper DB 2 2/3</v>
      </c>
      <c r="I18" s="64" t="str">
        <f>CONCATENATE("  ",C18,", // #",A18," = ",B18,IF(C18&lt;0," EXIT ",""))</f>
        <v xml:space="preserve">  0, // #16 = Upper DB 2 2/3</v>
      </c>
      <c r="J18" s="16" t="s">
        <v>138</v>
      </c>
      <c r="K18" s="64" t="str">
        <f>IF(J18 = "NULL",CONCATENATE("  ",J18,", // #",A18," = ",B18),CONCATENATE("  &amp;",J18,", // ",B18))</f>
        <v xml:space="preserve">  &amp;fpga_send_upper_db, // Upper DB 2 2/3</v>
      </c>
      <c r="L18" s="16" t="s">
        <v>120</v>
      </c>
      <c r="M18" s="64" t="str">
        <f>CONCATENATE("  ",L18,", // #",A18," = ",B18,IF(C18&lt;0," EXIT ",""))</f>
        <v xml:space="preserve">  &amp;drawbars.upper[4], // #16 = Upper DB 2 2/3</v>
      </c>
    </row>
    <row r="19" spans="1:13" x14ac:dyDescent="0.25">
      <c r="A19" s="2">
        <f>A18+1</f>
        <v>17</v>
      </c>
      <c r="B19" s="23" t="s">
        <v>89</v>
      </c>
      <c r="C19" s="1">
        <v>0</v>
      </c>
      <c r="D19" s="10">
        <v>0</v>
      </c>
      <c r="E19" s="10">
        <v>127</v>
      </c>
      <c r="F19" s="63" t="str">
        <f>CONCATENATE("  { """,B19,""" },  // #",A19," ",IF(C19&lt;0," EXIT SUBM",""))</f>
        <v xml:space="preserve">  { "Upper DB 2" },  // #17 </v>
      </c>
      <c r="G19" s="64" t="str">
        <f>CONCATENATE("  ",D19,", // #",A19," = ",B19,IF(C19&lt;0," EXIT ",""))</f>
        <v xml:space="preserve">  0, // #17 = Upper DB 2</v>
      </c>
      <c r="H19" s="64" t="str">
        <f>CONCATENATE("  ",E19,", // #",A19," = ",B19,IF(C19&lt;0," EXIT ",""))</f>
        <v xml:space="preserve">  127, // #17 = Upper DB 2</v>
      </c>
      <c r="I19" s="64" t="str">
        <f>CONCATENATE("  ",C19,", // #",A19," = ",B19,IF(C19&lt;0," EXIT ",""))</f>
        <v xml:space="preserve">  0, // #17 = Upper DB 2</v>
      </c>
      <c r="J19" s="16" t="s">
        <v>138</v>
      </c>
      <c r="K19" s="64" t="str">
        <f>IF(J19 = "NULL",CONCATENATE("  ",J19,", // #",A19," = ",B19),CONCATENATE("  &amp;",J19,", // ",B19))</f>
        <v xml:space="preserve">  &amp;fpga_send_upper_db, // Upper DB 2</v>
      </c>
      <c r="L19" s="16" t="s">
        <v>121</v>
      </c>
      <c r="M19" s="64" t="str">
        <f>CONCATENATE("  ",L19,", // #",A19," = ",B19,IF(C19&lt;0," EXIT ",""))</f>
        <v xml:space="preserve">  &amp;drawbars.upper[5], // #17 = Upper DB 2</v>
      </c>
    </row>
    <row r="20" spans="1:13" x14ac:dyDescent="0.25">
      <c r="A20" s="2">
        <f>A19+1</f>
        <v>18</v>
      </c>
      <c r="B20" s="23" t="s">
        <v>90</v>
      </c>
      <c r="C20" s="1">
        <v>0</v>
      </c>
      <c r="D20" s="10">
        <v>0</v>
      </c>
      <c r="E20" s="10">
        <v>127</v>
      </c>
      <c r="F20" s="63" t="str">
        <f>CONCATENATE("  { """,B20,""" },  // #",A20," ",IF(C20&lt;0," EXIT SUBM",""))</f>
        <v xml:space="preserve">  { "Upper DB 1 3/5" },  // #18 </v>
      </c>
      <c r="G20" s="64" t="str">
        <f>CONCATENATE("  ",D20,", // #",A20," = ",B20,IF(C20&lt;0," EXIT ",""))</f>
        <v xml:space="preserve">  0, // #18 = Upper DB 1 3/5</v>
      </c>
      <c r="H20" s="64" t="str">
        <f>CONCATENATE("  ",E20,", // #",A20," = ",B20,IF(C20&lt;0," EXIT ",""))</f>
        <v xml:space="preserve">  127, // #18 = Upper DB 1 3/5</v>
      </c>
      <c r="I20" s="64" t="str">
        <f>CONCATENATE("  ",C20,", // #",A20," = ",B20,IF(C20&lt;0," EXIT ",""))</f>
        <v xml:space="preserve">  0, // #18 = Upper DB 1 3/5</v>
      </c>
      <c r="J20" s="16" t="s">
        <v>138</v>
      </c>
      <c r="K20" s="64" t="str">
        <f>IF(J20 = "NULL",CONCATENATE("  ",J20,", // #",A20," = ",B20),CONCATENATE("  &amp;",J20,", // ",B20))</f>
        <v xml:space="preserve">  &amp;fpga_send_upper_db, // Upper DB 1 3/5</v>
      </c>
      <c r="L20" s="16" t="s">
        <v>122</v>
      </c>
      <c r="M20" s="64" t="str">
        <f>CONCATENATE("  ",L20,", // #",A20," = ",B20,IF(C20&lt;0," EXIT ",""))</f>
        <v xml:space="preserve">  &amp;drawbars.upper[6], // #18 = Upper DB 1 3/5</v>
      </c>
    </row>
    <row r="21" spans="1:13" s="12" customFormat="1" x14ac:dyDescent="0.25">
      <c r="A21" s="2">
        <f>A20+1</f>
        <v>19</v>
      </c>
      <c r="B21" s="23" t="s">
        <v>91</v>
      </c>
      <c r="C21" s="1">
        <v>0</v>
      </c>
      <c r="D21" s="10">
        <v>0</v>
      </c>
      <c r="E21" s="10">
        <v>127</v>
      </c>
      <c r="F21" s="63" t="str">
        <f>CONCATENATE("  { """,B21,""" },  // #",A21," ",IF(C21&lt;0," EXIT SUBM",""))</f>
        <v xml:space="preserve">  { "Upper DB 1 1/3" },  // #19 </v>
      </c>
      <c r="G21" s="64" t="str">
        <f>CONCATENATE("  ",D21,", // #",A21," = ",B21,IF(C21&lt;0," EXIT ",""))</f>
        <v xml:space="preserve">  0, // #19 = Upper DB 1 1/3</v>
      </c>
      <c r="H21" s="64" t="str">
        <f>CONCATENATE("  ",E21,", // #",A21," = ",B21,IF(C21&lt;0," EXIT ",""))</f>
        <v xml:space="preserve">  127, // #19 = Upper DB 1 1/3</v>
      </c>
      <c r="I21" s="64" t="str">
        <f>CONCATENATE("  ",C21,", // #",A21," = ",B21,IF(C21&lt;0," EXIT ",""))</f>
        <v xml:space="preserve">  0, // #19 = Upper DB 1 1/3</v>
      </c>
      <c r="J21" s="16" t="s">
        <v>138</v>
      </c>
      <c r="K21" s="64" t="str">
        <f>IF(J21 = "NULL",CONCATENATE("  ",J21,", // #",A21," = ",B21),CONCATENATE("  &amp;",J21,", // ",B21))</f>
        <v xml:space="preserve">  &amp;fpga_send_upper_db, // Upper DB 1 1/3</v>
      </c>
      <c r="L21" s="16" t="s">
        <v>123</v>
      </c>
      <c r="M21" s="64" t="str">
        <f>CONCATENATE("  ",L21,", // #",A21," = ",B21,IF(C21&lt;0," EXIT ",""))</f>
        <v xml:space="preserve">  &amp;drawbars.upper[7], // #19 = Upper DB 1 1/3</v>
      </c>
    </row>
    <row r="22" spans="1:13" x14ac:dyDescent="0.25">
      <c r="A22" s="2">
        <f>A21+1</f>
        <v>20</v>
      </c>
      <c r="B22" s="23" t="s">
        <v>92</v>
      </c>
      <c r="C22" s="1">
        <v>0</v>
      </c>
      <c r="D22" s="10">
        <v>0</v>
      </c>
      <c r="E22" s="10">
        <v>127</v>
      </c>
      <c r="F22" s="63" t="str">
        <f>CONCATENATE("  { """,B22,""" },  // #",A22," ",IF(C22&lt;0," EXIT SUBM",""))</f>
        <v xml:space="preserve">  { "Upper DB 1" },  // #20 </v>
      </c>
      <c r="G22" s="64" t="str">
        <f>CONCATENATE("  ",D22,", // #",A22," = ",B22,IF(C22&lt;0," EXIT ",""))</f>
        <v xml:space="preserve">  0, // #20 = Upper DB 1</v>
      </c>
      <c r="H22" s="64" t="str">
        <f>CONCATENATE("  ",E22,", // #",A22," = ",B22,IF(C22&lt;0," EXIT ",""))</f>
        <v xml:space="preserve">  127, // #20 = Upper DB 1</v>
      </c>
      <c r="I22" s="64" t="str">
        <f>CONCATENATE("  ",C22,", // #",A22," = ",B22,IF(C22&lt;0," EXIT ",""))</f>
        <v xml:space="preserve">  0, // #20 = Upper DB 1</v>
      </c>
      <c r="J22" s="16" t="s">
        <v>138</v>
      </c>
      <c r="K22" s="64" t="str">
        <f>IF(J22 = "NULL",CONCATENATE("  ",J22,", // #",A22," = ",B22),CONCATENATE("  &amp;",J22,", // ",B22))</f>
        <v xml:space="preserve">  &amp;fpga_send_upper_db, // Upper DB 1</v>
      </c>
      <c r="L22" s="16" t="s">
        <v>124</v>
      </c>
      <c r="M22" s="64" t="str">
        <f>CONCATENATE("  ",L22,", // #",A22," = ",B22,IF(C22&lt;0," EXIT ",""))</f>
        <v xml:space="preserve">  &amp;drawbars.upper[8], // #20 = Upper DB 1</v>
      </c>
    </row>
    <row r="23" spans="1:13" x14ac:dyDescent="0.25">
      <c r="A23" s="2">
        <f>A22+1</f>
        <v>21</v>
      </c>
      <c r="B23" s="19" t="s">
        <v>105</v>
      </c>
      <c r="C23" s="19">
        <v>-1</v>
      </c>
      <c r="D23" s="19">
        <v>0</v>
      </c>
      <c r="E23" s="19">
        <v>0</v>
      </c>
      <c r="F23" s="63" t="str">
        <f>CONCATENATE("  { """,B23,""" },  // #",A23," ",IF(C23&lt;0," EXIT SUBM",""))</f>
        <v xml:space="preserve">  { "Upper DB" },  // #21  EXIT SUBM</v>
      </c>
      <c r="G23" s="65" t="str">
        <f>CONCATENATE("  ",D23,", // #",A23," = ",B23,IF(C23&lt;0," EXIT ",""))</f>
        <v xml:space="preserve">  0, // #21 = Upper DB EXIT </v>
      </c>
      <c r="H23" s="65" t="str">
        <f>CONCATENATE("  ",E23,", // #",A23," = ",B23,IF(C23&lt;0," EXIT ",""))</f>
        <v xml:space="preserve">  0, // #21 = Upper DB EXIT </v>
      </c>
      <c r="I23" s="65" t="str">
        <f>CONCATENATE("  ",C23,", // #",A23," = ",B23,IF(C23&lt;0," EXIT ",""))</f>
        <v xml:space="preserve">  -1, // #21 = Upper DB EXIT </v>
      </c>
      <c r="J23" s="16" t="s">
        <v>115</v>
      </c>
      <c r="K23" s="64" t="str">
        <f>IF(J23 = "NULL",CONCATENATE("  ",J23,", // #",A23," = ",B23),CONCATENATE("  &amp;",J23,", // ",B23))</f>
        <v xml:space="preserve">  NULL, // #21 = Upper DB</v>
      </c>
      <c r="L23" s="16" t="s">
        <v>115</v>
      </c>
      <c r="M23" s="64" t="str">
        <f>CONCATENATE("  ",L23,", // #",A23," = ",B23,IF(C23&lt;0," EXIT ",""))</f>
        <v xml:space="preserve">  NULL, // #21 = Upper DB EXIT </v>
      </c>
    </row>
    <row r="24" spans="1:13" x14ac:dyDescent="0.25">
      <c r="A24" s="2">
        <f>A23+1</f>
        <v>22</v>
      </c>
      <c r="B24" s="31" t="s">
        <v>93</v>
      </c>
      <c r="C24" s="1">
        <v>0</v>
      </c>
      <c r="D24" s="10">
        <v>0</v>
      </c>
      <c r="E24" s="10">
        <v>127</v>
      </c>
      <c r="F24" s="63" t="str">
        <f>CONCATENATE("  { """,B24,""" },  // #",A24," ",IF(C24&lt;0," EXIT SUBM",""))</f>
        <v xml:space="preserve">  { "Lower DB 16" },  // #22 </v>
      </c>
      <c r="G24" s="64" t="str">
        <f>CONCATENATE("  ",D24,", // #",A24," = ",B24,IF(C24&lt;0," EXIT ",""))</f>
        <v xml:space="preserve">  0, // #22 = Lower DB 16</v>
      </c>
      <c r="H24" s="64" t="str">
        <f>CONCATENATE("  ",E24,", // #",A24," = ",B24,IF(C24&lt;0," EXIT ",""))</f>
        <v xml:space="preserve">  127, // #22 = Lower DB 16</v>
      </c>
      <c r="I24" s="64" t="str">
        <f>CONCATENATE("  ",C24,", // #",A24," = ",B24,IF(C24&lt;0," EXIT ",""))</f>
        <v xml:space="preserve">  0, // #22 = Lower DB 16</v>
      </c>
      <c r="J24" s="16" t="s">
        <v>139</v>
      </c>
      <c r="K24" s="64" t="str">
        <f>IF(J24 = "NULL",CONCATENATE("  ",J24,", // #",A24," = ",B24),CONCATENATE("  &amp;",J24,", // ",B24))</f>
        <v xml:space="preserve">  &amp;fpga_send_lower_db, // Lower DB 16</v>
      </c>
      <c r="L24" s="16" t="s">
        <v>125</v>
      </c>
      <c r="M24" s="64" t="str">
        <f>CONCATENATE("  ",L24,", // #",A24," = ",B24,IF(C24&lt;0," EXIT ",""))</f>
        <v xml:space="preserve">  &amp;drawbars.lower[0], // #22 = Lower DB 16</v>
      </c>
    </row>
    <row r="25" spans="1:13" x14ac:dyDescent="0.25">
      <c r="A25" s="2">
        <f>A24+1</f>
        <v>23</v>
      </c>
      <c r="B25" s="24" t="s">
        <v>94</v>
      </c>
      <c r="C25" s="1">
        <v>0</v>
      </c>
      <c r="D25" s="10">
        <v>0</v>
      </c>
      <c r="E25" s="10">
        <v>127</v>
      </c>
      <c r="F25" s="63" t="str">
        <f>CONCATENATE("  { """,B25,""" },  // #",A25," ",IF(C25&lt;0," EXIT SUBM",""))</f>
        <v xml:space="preserve">  { "Lower DB 5 1/3" },  // #23 </v>
      </c>
      <c r="G25" s="64" t="str">
        <f>CONCATENATE("  ",D25,", // #",A25," = ",B25,IF(C25&lt;0," EXIT ",""))</f>
        <v xml:space="preserve">  0, // #23 = Lower DB 5 1/3</v>
      </c>
      <c r="H25" s="64" t="str">
        <f>CONCATENATE("  ",E25,", // #",A25," = ",B25,IF(C25&lt;0," EXIT ",""))</f>
        <v xml:space="preserve">  127, // #23 = Lower DB 5 1/3</v>
      </c>
      <c r="I25" s="64" t="str">
        <f>CONCATENATE("  ",C25,", // #",A25," = ",B25,IF(C25&lt;0," EXIT ",""))</f>
        <v xml:space="preserve">  0, // #23 = Lower DB 5 1/3</v>
      </c>
      <c r="J25" s="16" t="s">
        <v>139</v>
      </c>
      <c r="K25" s="64" t="str">
        <f>IF(J25 = "NULL",CONCATENATE("  ",J25,", // #",A25," = ",B25),CONCATENATE("  &amp;",J25,", // ",B25))</f>
        <v xml:space="preserve">  &amp;fpga_send_lower_db, // Lower DB 5 1/3</v>
      </c>
      <c r="L25" s="16" t="s">
        <v>126</v>
      </c>
      <c r="M25" s="64" t="str">
        <f>CONCATENATE("  ",L25,", // #",A25," = ",B25,IF(C25&lt;0," EXIT ",""))</f>
        <v xml:space="preserve">  &amp;drawbars.lower[1], // #23 = Lower DB 5 1/3</v>
      </c>
    </row>
    <row r="26" spans="1:13" x14ac:dyDescent="0.25">
      <c r="A26" s="2">
        <f>A25+1</f>
        <v>24</v>
      </c>
      <c r="B26" s="24" t="s">
        <v>95</v>
      </c>
      <c r="C26" s="1">
        <v>0</v>
      </c>
      <c r="D26" s="10">
        <v>0</v>
      </c>
      <c r="E26" s="10">
        <v>127</v>
      </c>
      <c r="F26" s="63" t="str">
        <f>CONCATENATE("  { """,B26,""" },  // #",A26," ",IF(C26&lt;0," EXIT SUBM",""))</f>
        <v xml:space="preserve">  { "Lower DB 8" },  // #24 </v>
      </c>
      <c r="G26" s="64" t="str">
        <f>CONCATENATE("  ",D26,", // #",A26," = ",B26,IF(C26&lt;0," EXIT ",""))</f>
        <v xml:space="preserve">  0, // #24 = Lower DB 8</v>
      </c>
      <c r="H26" s="64" t="str">
        <f>CONCATENATE("  ",E26,", // #",A26," = ",B26,IF(C26&lt;0," EXIT ",""))</f>
        <v xml:space="preserve">  127, // #24 = Lower DB 8</v>
      </c>
      <c r="I26" s="64" t="str">
        <f>CONCATENATE("  ",C26,", // #",A26," = ",B26,IF(C26&lt;0," EXIT ",""))</f>
        <v xml:space="preserve">  0, // #24 = Lower DB 8</v>
      </c>
      <c r="J26" s="16" t="s">
        <v>139</v>
      </c>
      <c r="K26" s="64" t="str">
        <f>IF(J26 = "NULL",CONCATENATE("  ",J26,", // #",A26," = ",B26),CONCATENATE("  &amp;",J26,", // ",B26))</f>
        <v xml:space="preserve">  &amp;fpga_send_lower_db, // Lower DB 8</v>
      </c>
      <c r="L26" s="16" t="s">
        <v>127</v>
      </c>
      <c r="M26" s="64" t="str">
        <f>CONCATENATE("  ",L26,", // #",A26," = ",B26,IF(C26&lt;0," EXIT ",""))</f>
        <v xml:space="preserve">  &amp;drawbars.lower[2], // #24 = Lower DB 8</v>
      </c>
    </row>
    <row r="27" spans="1:13" x14ac:dyDescent="0.25">
      <c r="A27" s="2">
        <f>A26+1</f>
        <v>25</v>
      </c>
      <c r="B27" s="24" t="s">
        <v>96</v>
      </c>
      <c r="C27" s="1">
        <v>0</v>
      </c>
      <c r="D27" s="10">
        <v>0</v>
      </c>
      <c r="E27" s="10">
        <v>127</v>
      </c>
      <c r="F27" s="63" t="str">
        <f>CONCATENATE("  { """,B27,""" },  // #",A27," ",IF(C27&lt;0," EXIT SUBM",""))</f>
        <v xml:space="preserve">  { "Lower DB 4" },  // #25 </v>
      </c>
      <c r="G27" s="64" t="str">
        <f>CONCATENATE("  ",D27,", // #",A27," = ",B27,IF(C27&lt;0," EXIT ",""))</f>
        <v xml:space="preserve">  0, // #25 = Lower DB 4</v>
      </c>
      <c r="H27" s="64" t="str">
        <f>CONCATENATE("  ",E27,", // #",A27," = ",B27,IF(C27&lt;0," EXIT ",""))</f>
        <v xml:space="preserve">  127, // #25 = Lower DB 4</v>
      </c>
      <c r="I27" s="64" t="str">
        <f>CONCATENATE("  ",C27,", // #",A27," = ",B27,IF(C27&lt;0," EXIT ",""))</f>
        <v xml:space="preserve">  0, // #25 = Lower DB 4</v>
      </c>
      <c r="J27" s="16" t="s">
        <v>139</v>
      </c>
      <c r="K27" s="64" t="str">
        <f>IF(J27 = "NULL",CONCATENATE("  ",J27,", // #",A27," = ",B27),CONCATENATE("  &amp;",J27,", // ",B27))</f>
        <v xml:space="preserve">  &amp;fpga_send_lower_db, // Lower DB 4</v>
      </c>
      <c r="L27" s="16" t="s">
        <v>128</v>
      </c>
      <c r="M27" s="64" t="str">
        <f>CONCATENATE("  ",L27,", // #",A27," = ",B27,IF(C27&lt;0," EXIT ",""))</f>
        <v xml:space="preserve">  &amp;drawbars.lower[3], // #25 = Lower DB 4</v>
      </c>
    </row>
    <row r="28" spans="1:13" x14ac:dyDescent="0.25">
      <c r="A28" s="2">
        <f>A27+1</f>
        <v>26</v>
      </c>
      <c r="B28" s="24" t="s">
        <v>97</v>
      </c>
      <c r="C28" s="1">
        <v>0</v>
      </c>
      <c r="D28" s="10">
        <v>0</v>
      </c>
      <c r="E28" s="10">
        <v>127</v>
      </c>
      <c r="F28" s="63" t="str">
        <f>CONCATENATE("  { """,B28,""" },  // #",A28," ",IF(C28&lt;0," EXIT SUBM",""))</f>
        <v xml:space="preserve">  { "Lower DB 2 2/3" },  // #26 </v>
      </c>
      <c r="G28" s="64" t="str">
        <f>CONCATENATE("  ",D28,", // #",A28," = ",B28,IF(C28&lt;0," EXIT ",""))</f>
        <v xml:space="preserve">  0, // #26 = Lower DB 2 2/3</v>
      </c>
      <c r="H28" s="64" t="str">
        <f>CONCATENATE("  ",E28,", // #",A28," = ",B28,IF(C28&lt;0," EXIT ",""))</f>
        <v xml:space="preserve">  127, // #26 = Lower DB 2 2/3</v>
      </c>
      <c r="I28" s="64" t="str">
        <f>CONCATENATE("  ",C28,", // #",A28," = ",B28,IF(C28&lt;0," EXIT ",""))</f>
        <v xml:space="preserve">  0, // #26 = Lower DB 2 2/3</v>
      </c>
      <c r="J28" s="16" t="s">
        <v>139</v>
      </c>
      <c r="K28" s="64" t="str">
        <f>IF(J28 = "NULL",CONCATENATE("  ",J28,", // #",A28," = ",B28),CONCATENATE("  &amp;",J28,", // ",B28))</f>
        <v xml:space="preserve">  &amp;fpga_send_lower_db, // Lower DB 2 2/3</v>
      </c>
      <c r="L28" s="16" t="s">
        <v>129</v>
      </c>
      <c r="M28" s="64" t="str">
        <f>CONCATENATE("  ",L28,", // #",A28," = ",B28,IF(C28&lt;0," EXIT ",""))</f>
        <v xml:space="preserve">  &amp;drawbars.lower[4], // #26 = Lower DB 2 2/3</v>
      </c>
    </row>
    <row r="29" spans="1:13" x14ac:dyDescent="0.25">
      <c r="A29" s="2">
        <f>A28+1</f>
        <v>27</v>
      </c>
      <c r="B29" s="24" t="s">
        <v>98</v>
      </c>
      <c r="C29" s="1">
        <v>0</v>
      </c>
      <c r="D29" s="10">
        <v>0</v>
      </c>
      <c r="E29" s="10">
        <v>127</v>
      </c>
      <c r="F29" s="63" t="str">
        <f>CONCATENATE("  { """,B29,""" },  // #",A29," ",IF(C29&lt;0," EXIT SUBM",""))</f>
        <v xml:space="preserve">  { "Lower DB 2" },  // #27 </v>
      </c>
      <c r="G29" s="64" t="str">
        <f>CONCATENATE("  ",D29,", // #",A29," = ",B29,IF(C29&lt;0," EXIT ",""))</f>
        <v xml:space="preserve">  0, // #27 = Lower DB 2</v>
      </c>
      <c r="H29" s="64" t="str">
        <f>CONCATENATE("  ",E29,", // #",A29," = ",B29,IF(C29&lt;0," EXIT ",""))</f>
        <v xml:space="preserve">  127, // #27 = Lower DB 2</v>
      </c>
      <c r="I29" s="64" t="str">
        <f>CONCATENATE("  ",C29,", // #",A29," = ",B29,IF(C29&lt;0," EXIT ",""))</f>
        <v xml:space="preserve">  0, // #27 = Lower DB 2</v>
      </c>
      <c r="J29" s="16" t="s">
        <v>139</v>
      </c>
      <c r="K29" s="64" t="str">
        <f>IF(J29 = "NULL",CONCATENATE("  ",J29,", // #",A29," = ",B29),CONCATENATE("  &amp;",J29,", // ",B29))</f>
        <v xml:space="preserve">  &amp;fpga_send_lower_db, // Lower DB 2</v>
      </c>
      <c r="L29" s="16" t="s">
        <v>130</v>
      </c>
      <c r="M29" s="64" t="str">
        <f>CONCATENATE("  ",L29,", // #",A29," = ",B29,IF(C29&lt;0," EXIT ",""))</f>
        <v xml:space="preserve">  &amp;drawbars.lower[5], // #27 = Lower DB 2</v>
      </c>
    </row>
    <row r="30" spans="1:13" x14ac:dyDescent="0.25">
      <c r="A30" s="2">
        <f>A29+1</f>
        <v>28</v>
      </c>
      <c r="B30" s="24" t="s">
        <v>99</v>
      </c>
      <c r="C30" s="1">
        <v>0</v>
      </c>
      <c r="D30" s="10">
        <v>0</v>
      </c>
      <c r="E30" s="10">
        <v>127</v>
      </c>
      <c r="F30" s="63" t="str">
        <f>CONCATENATE("  { """,B30,""" },  // #",A30," ",IF(C30&lt;0," EXIT SUBM",""))</f>
        <v xml:space="preserve">  { "Lower DB 1 3/5" },  // #28 </v>
      </c>
      <c r="G30" s="64" t="str">
        <f>CONCATENATE("  ",D30,", // #",A30," = ",B30,IF(C30&lt;0," EXIT ",""))</f>
        <v xml:space="preserve">  0, // #28 = Lower DB 1 3/5</v>
      </c>
      <c r="H30" s="64" t="str">
        <f>CONCATENATE("  ",E30,", // #",A30," = ",B30,IF(C30&lt;0," EXIT ",""))</f>
        <v xml:space="preserve">  127, // #28 = Lower DB 1 3/5</v>
      </c>
      <c r="I30" s="64" t="str">
        <f>CONCATENATE("  ",C30,", // #",A30," = ",B30,IF(C30&lt;0," EXIT ",""))</f>
        <v xml:space="preserve">  0, // #28 = Lower DB 1 3/5</v>
      </c>
      <c r="J30" s="16" t="s">
        <v>139</v>
      </c>
      <c r="K30" s="64" t="str">
        <f>IF(J30 = "NULL",CONCATENATE("  ",J30,", // #",A30," = ",B30),CONCATENATE("  &amp;",J30,", // ",B30))</f>
        <v xml:space="preserve">  &amp;fpga_send_lower_db, // Lower DB 1 3/5</v>
      </c>
      <c r="L30" s="16" t="s">
        <v>131</v>
      </c>
      <c r="M30" s="64" t="str">
        <f>CONCATENATE("  ",L30,", // #",A30," = ",B30,IF(C30&lt;0," EXIT ",""))</f>
        <v xml:space="preserve">  &amp;drawbars.lower[6], // #28 = Lower DB 1 3/5</v>
      </c>
    </row>
    <row r="31" spans="1:13" x14ac:dyDescent="0.25">
      <c r="A31" s="2">
        <f>A30+1</f>
        <v>29</v>
      </c>
      <c r="B31" s="24" t="s">
        <v>100</v>
      </c>
      <c r="C31" s="1">
        <v>0</v>
      </c>
      <c r="D31" s="10">
        <v>0</v>
      </c>
      <c r="E31" s="10">
        <v>127</v>
      </c>
      <c r="F31" s="63" t="str">
        <f>CONCATENATE("  { """,B31,""" },  // #",A31," ",IF(C31&lt;0," EXIT SUBM",""))</f>
        <v xml:space="preserve">  { "Lower DB 1 1/3" },  // #29 </v>
      </c>
      <c r="G31" s="64" t="str">
        <f>CONCATENATE("  ",D31,", // #",A31," = ",B31,IF(C31&lt;0," EXIT ",""))</f>
        <v xml:space="preserve">  0, // #29 = Lower DB 1 1/3</v>
      </c>
      <c r="H31" s="64" t="str">
        <f>CONCATENATE("  ",E31,", // #",A31," = ",B31,IF(C31&lt;0," EXIT ",""))</f>
        <v xml:space="preserve">  127, // #29 = Lower DB 1 1/3</v>
      </c>
      <c r="I31" s="64" t="str">
        <f>CONCATENATE("  ",C31,", // #",A31," = ",B31,IF(C31&lt;0," EXIT ",""))</f>
        <v xml:space="preserve">  0, // #29 = Lower DB 1 1/3</v>
      </c>
      <c r="J31" s="16" t="s">
        <v>139</v>
      </c>
      <c r="K31" s="64" t="str">
        <f>IF(J31 = "NULL",CONCATENATE("  ",J31,", // #",A31," = ",B31),CONCATENATE("  &amp;",J31,", // ",B31))</f>
        <v xml:space="preserve">  &amp;fpga_send_lower_db, // Lower DB 1 1/3</v>
      </c>
      <c r="L31" s="16" t="s">
        <v>132</v>
      </c>
      <c r="M31" s="64" t="str">
        <f>CONCATENATE("  ",L31,", // #",A31," = ",B31,IF(C31&lt;0," EXIT ",""))</f>
        <v xml:space="preserve">  &amp;drawbars.lower[7], // #29 = Lower DB 1 1/3</v>
      </c>
    </row>
    <row r="32" spans="1:13" x14ac:dyDescent="0.25">
      <c r="A32" s="2">
        <f>A31+1</f>
        <v>30</v>
      </c>
      <c r="B32" s="24" t="s">
        <v>101</v>
      </c>
      <c r="C32" s="1">
        <v>0</v>
      </c>
      <c r="D32" s="10">
        <v>0</v>
      </c>
      <c r="E32" s="10">
        <v>127</v>
      </c>
      <c r="F32" s="63" t="str">
        <f>CONCATENATE("  { """,B32,""" },  // #",A32," ",IF(C32&lt;0," EXIT SUBM",""))</f>
        <v xml:space="preserve">  { "Lower DB 1" },  // #30 </v>
      </c>
      <c r="G32" s="64" t="str">
        <f>CONCATENATE("  ",D32,", // #",A32," = ",B32,IF(C32&lt;0," EXIT ",""))</f>
        <v xml:space="preserve">  0, // #30 = Lower DB 1</v>
      </c>
      <c r="H32" s="64" t="str">
        <f>CONCATENATE("  ",E32,", // #",A32," = ",B32,IF(C32&lt;0," EXIT ",""))</f>
        <v xml:space="preserve">  127, // #30 = Lower DB 1</v>
      </c>
      <c r="I32" s="64" t="str">
        <f>CONCATENATE("  ",C32,", // #",A32," = ",B32,IF(C32&lt;0," EXIT ",""))</f>
        <v xml:space="preserve">  0, // #30 = Lower DB 1</v>
      </c>
      <c r="J32" s="16" t="s">
        <v>139</v>
      </c>
      <c r="K32" s="64" t="str">
        <f>IF(J32 = "NULL",CONCATENATE("  ",J32,", // #",A32," = ",B32),CONCATENATE("  &amp;",J32,", // ",B32))</f>
        <v xml:space="preserve">  &amp;fpga_send_lower_db, // Lower DB 1</v>
      </c>
      <c r="L32" s="16" t="s">
        <v>133</v>
      </c>
      <c r="M32" s="64" t="str">
        <f>CONCATENATE("  ",L32,", // #",A32," = ",B32,IF(C32&lt;0," EXIT ",""))</f>
        <v xml:space="preserve">  &amp;drawbars.lower[8], // #30 = Lower DB 1</v>
      </c>
    </row>
    <row r="33" spans="1:13" x14ac:dyDescent="0.25">
      <c r="A33" s="2">
        <f>A32+1</f>
        <v>31</v>
      </c>
      <c r="B33" s="19" t="s">
        <v>106</v>
      </c>
      <c r="C33" s="19">
        <v>-1</v>
      </c>
      <c r="D33" s="19">
        <v>0</v>
      </c>
      <c r="E33" s="19">
        <v>0</v>
      </c>
      <c r="F33" s="63" t="str">
        <f>CONCATENATE("  { """,B33,""" },  // #",A33," ",IF(C33&lt;0," EXIT SUBM",""))</f>
        <v xml:space="preserve">  { "Lower DB" },  // #31  EXIT SUBM</v>
      </c>
      <c r="G33" s="65" t="str">
        <f>CONCATENATE("  ",D33,", // #",A33," = ",B33,IF(C33&lt;0," EXIT ",""))</f>
        <v xml:space="preserve">  0, // #31 = Lower DB EXIT </v>
      </c>
      <c r="H33" s="65" t="str">
        <f>CONCATENATE("  ",E33,", // #",A33," = ",B33,IF(C33&lt;0," EXIT ",""))</f>
        <v xml:space="preserve">  0, // #31 = Lower DB EXIT </v>
      </c>
      <c r="I33" s="65" t="str">
        <f>CONCATENATE("  ",C33,", // #",A33," = ",B33,IF(C33&lt;0," EXIT ",""))</f>
        <v xml:space="preserve">  -1, // #31 = Lower DB EXIT </v>
      </c>
      <c r="J33" s="16" t="s">
        <v>115</v>
      </c>
      <c r="K33" s="64" t="str">
        <f>IF(J33 = "NULL",CONCATENATE("  ",J33,", // #",A33," = ",B33),CONCATENATE("  &amp;",J33,", // ",B33))</f>
        <v xml:space="preserve">  NULL, // #31 = Lower DB</v>
      </c>
      <c r="L33" s="16" t="s">
        <v>115</v>
      </c>
      <c r="M33" s="64" t="str">
        <f>CONCATENATE("  ",L33,", // #",A33," = ",B33,IF(C33&lt;0," EXIT ",""))</f>
        <v xml:space="preserve">  NULL, // #31 = Lower DB EXIT </v>
      </c>
    </row>
    <row r="34" spans="1:13" x14ac:dyDescent="0.25">
      <c r="A34" s="2">
        <f>A33+1</f>
        <v>32</v>
      </c>
      <c r="B34" s="32" t="s">
        <v>102</v>
      </c>
      <c r="C34" s="1">
        <v>0</v>
      </c>
      <c r="D34" s="10">
        <v>0</v>
      </c>
      <c r="E34" s="10">
        <v>127</v>
      </c>
      <c r="F34" s="63" t="str">
        <f>CONCATENATE("  { """,B34,""" },  // #",A34," ",IF(C34&lt;0," EXIT SUBM",""))</f>
        <v xml:space="preserve">  { "Pedal DB 16" },  // #32 </v>
      </c>
      <c r="G34" s="64" t="str">
        <f>CONCATENATE("  ",D34,", // #",A34," = ",B34,IF(C34&lt;0," EXIT ",""))</f>
        <v xml:space="preserve">  0, // #32 = Pedal DB 16</v>
      </c>
      <c r="H34" s="64" t="str">
        <f>CONCATENATE("  ",E34,", // #",A34," = ",B34,IF(C34&lt;0," EXIT ",""))</f>
        <v xml:space="preserve">  127, // #32 = Pedal DB 16</v>
      </c>
      <c r="I34" s="64" t="str">
        <f>CONCATENATE("  ",C34,", // #",A34," = ",B34,IF(C34&lt;0," EXIT ",""))</f>
        <v xml:space="preserve">  0, // #32 = Pedal DB 16</v>
      </c>
      <c r="J34" s="16" t="s">
        <v>115</v>
      </c>
      <c r="K34" s="64" t="str">
        <f>IF(J34 = "NULL",CONCATENATE("  ",J34,", // #",A34," = ",B34),CONCATENATE("  &amp;",J34,", // ",B34))</f>
        <v xml:space="preserve">  NULL, // #32 = Pedal DB 16</v>
      </c>
      <c r="L34" s="16" t="s">
        <v>134</v>
      </c>
      <c r="M34" s="64" t="str">
        <f>CONCATENATE("  ",L34,", // #",A34," = ",B34,IF(C34&lt;0," EXIT ",""))</f>
        <v xml:space="preserve">  &amp;drawbars.pedal[0], // #32 = Pedal DB 16</v>
      </c>
    </row>
    <row r="35" spans="1:13" x14ac:dyDescent="0.25">
      <c r="A35" s="2">
        <f>A34+1</f>
        <v>33</v>
      </c>
      <c r="B35" s="25" t="s">
        <v>103</v>
      </c>
      <c r="C35" s="1">
        <v>0</v>
      </c>
      <c r="D35" s="10">
        <v>0</v>
      </c>
      <c r="E35" s="10">
        <v>127</v>
      </c>
      <c r="F35" s="63" t="str">
        <f>CONCATENATE("  { """,B35,""" },  // #",A35," ",IF(C35&lt;0," EXIT SUBM",""))</f>
        <v xml:space="preserve">  { "Pedal DB 8" },  // #33 </v>
      </c>
      <c r="G35" s="64" t="str">
        <f>CONCATENATE("  ",D35,", // #",A35," = ",B35,IF(C35&lt;0," EXIT ",""))</f>
        <v xml:space="preserve">  0, // #33 = Pedal DB 8</v>
      </c>
      <c r="H35" s="64" t="str">
        <f>CONCATENATE("  ",E35,", // #",A35," = ",B35,IF(C35&lt;0," EXIT ",""))</f>
        <v xml:space="preserve">  127, // #33 = Pedal DB 8</v>
      </c>
      <c r="I35" s="64" t="str">
        <f>CONCATENATE("  ",C35,", // #",A35," = ",B35,IF(C35&lt;0," EXIT ",""))</f>
        <v xml:space="preserve">  0, // #33 = Pedal DB 8</v>
      </c>
      <c r="J35" s="16" t="s">
        <v>115</v>
      </c>
      <c r="K35" s="64" t="str">
        <f>IF(J35 = "NULL",CONCATENATE("  ",J35,", // #",A35," = ",B35),CONCATENATE("  &amp;",J35,", // ",B35))</f>
        <v xml:space="preserve">  NULL, // #33 = Pedal DB 8</v>
      </c>
      <c r="L35" s="16" t="s">
        <v>135</v>
      </c>
      <c r="M35" s="64" t="str">
        <f>CONCATENATE("  ",L35,", // #",A35," = ",B35,IF(C35&lt;0," EXIT ",""))</f>
        <v xml:space="preserve">  &amp;drawbars.pedal[1], // #33 = Pedal DB 8</v>
      </c>
    </row>
    <row r="36" spans="1:13" x14ac:dyDescent="0.25">
      <c r="A36" s="2">
        <f>A35+1</f>
        <v>34</v>
      </c>
      <c r="B36" s="19" t="s">
        <v>107</v>
      </c>
      <c r="C36" s="19">
        <v>-1</v>
      </c>
      <c r="D36" s="19">
        <v>0</v>
      </c>
      <c r="E36" s="19">
        <v>0</v>
      </c>
      <c r="F36" s="63" t="str">
        <f>CONCATENATE("  { """,B36,""" },  // #",A36," ",IF(C36&lt;0," EXIT SUBM",""))</f>
        <v xml:space="preserve">  { "Pedal DB" },  // #34  EXIT SUBM</v>
      </c>
      <c r="G36" s="65" t="str">
        <f>CONCATENATE("  ",D36,", // #",A36," = ",B36,IF(C36&lt;0," EXIT ",""))</f>
        <v xml:space="preserve">  0, // #34 = Pedal DB EXIT </v>
      </c>
      <c r="H36" s="65" t="str">
        <f>CONCATENATE("  ",E36,", // #",A36," = ",B36,IF(C36&lt;0," EXIT ",""))</f>
        <v xml:space="preserve">  0, // #34 = Pedal DB EXIT </v>
      </c>
      <c r="I36" s="65" t="str">
        <f>CONCATENATE("  ",C36,", // #",A36," = ",B36,IF(C36&lt;0," EXIT ",""))</f>
        <v xml:space="preserve">  -1, // #34 = Pedal DB EXIT </v>
      </c>
      <c r="J36" s="16" t="s">
        <v>115</v>
      </c>
      <c r="K36" s="64" t="str">
        <f>IF(J36 = "NULL",CONCATENATE("  ",J36,", // #",A36," = ",B36),CONCATENATE("  &amp;",J36,", // ",B36))</f>
        <v xml:space="preserve">  NULL, // #34 = Pedal DB</v>
      </c>
      <c r="L36" s="16" t="s">
        <v>115</v>
      </c>
      <c r="M36" s="64" t="str">
        <f>CONCATENATE("  ",L36,", // #",A36," = ",B36,IF(C36&lt;0," EXIT ",""))</f>
        <v xml:space="preserve">  NULL, // #34 = Pedal DB EXIT </v>
      </c>
    </row>
    <row r="37" spans="1:13" x14ac:dyDescent="0.25">
      <c r="A37" s="2">
        <f>A36+1</f>
        <v>35</v>
      </c>
      <c r="B37" s="33" t="s">
        <v>146</v>
      </c>
      <c r="C37" s="1">
        <v>0</v>
      </c>
      <c r="D37" s="10">
        <v>0</v>
      </c>
      <c r="E37" s="10">
        <v>0</v>
      </c>
      <c r="F37" s="63" t="str">
        <f>CONCATENATE("  { """,B37,""" },  // #",A37," ",IF(C37&lt;0," EXIT SUBM",""))</f>
        <v xml:space="preserve">  { "SD Card Info" },  // #35 </v>
      </c>
      <c r="G37" s="64" t="str">
        <f>CONCATENATE("  ",D37,", // #",A37," = ",B37,IF(C37&lt;0," EXIT ",""))</f>
        <v xml:space="preserve">  0, // #35 = SD Card Info</v>
      </c>
      <c r="H37" s="64" t="str">
        <f>CONCATENATE("  ",E37,", // #",A37," = ",B37,IF(C37&lt;0," EXIT ",""))</f>
        <v xml:space="preserve">  0, // #35 = SD Card Info</v>
      </c>
      <c r="I37" s="64" t="str">
        <f>CONCATENATE("  ",C37,", // #",A37," = ",B37,IF(C37&lt;0," EXIT ",""))</f>
        <v xml:space="preserve">  0, // #35 = SD Card Info</v>
      </c>
      <c r="J37" s="16" t="s">
        <v>147</v>
      </c>
      <c r="K37" s="64" t="str">
        <f>IF(J37 = "NULL",CONCATENATE("  ",J37,", // #",A37," = ",B37),CONCATENATE("  &amp;",J37,", // ",B37))</f>
        <v xml:space="preserve">  &amp;sdCardInfo, // SD Card Info</v>
      </c>
      <c r="L37" s="16" t="s">
        <v>115</v>
      </c>
      <c r="M37" s="64" t="str">
        <f>CONCATENATE("  ",L37,", // #",A37," = ",B37,IF(C37&lt;0," EXIT ",""))</f>
        <v xml:space="preserve">  NULL, // #35 = SD Card Info</v>
      </c>
    </row>
    <row r="38" spans="1:13" x14ac:dyDescent="0.25">
      <c r="A38" s="2">
        <f>A37+1</f>
        <v>36</v>
      </c>
      <c r="B38" s="33" t="s">
        <v>108</v>
      </c>
      <c r="C38" s="1">
        <v>0</v>
      </c>
      <c r="D38" s="10">
        <v>0</v>
      </c>
      <c r="E38" s="10">
        <v>0</v>
      </c>
      <c r="F38" s="63" t="str">
        <f>CONCATENATE("  { """,B38,""" },  // #",A38," ",IF(C38&lt;0," EXIT SUBM",""))</f>
        <v xml:space="preserve">  { "Load SD Scan" },  // #36 </v>
      </c>
      <c r="G38" s="64" t="str">
        <f>CONCATENATE("  ",D38,", // #",A38," = ",B38,IF(C38&lt;0," EXIT ",""))</f>
        <v xml:space="preserve">  0, // #36 = Load SD Scan</v>
      </c>
      <c r="H38" s="64" t="str">
        <f>CONCATENATE("  ",E38,", // #",A38," = ",B38,IF(C38&lt;0," EXIT ",""))</f>
        <v xml:space="preserve">  0, // #36 = Load SD Scan</v>
      </c>
      <c r="I38" s="64" t="str">
        <f>CONCATENATE("  ",C38,", // #",A38," = ",B38,IF(C38&lt;0," EXIT ",""))</f>
        <v xml:space="preserve">  0, // #36 = Load SD Scan</v>
      </c>
      <c r="J38" s="16" t="s">
        <v>141</v>
      </c>
      <c r="K38" s="64" t="str">
        <f>IF(J38 = "NULL",CONCATENATE("  ",J38,", // #",A38," = ",B38),CONCATENATE("  &amp;",J38,", // ",B38))</f>
        <v xml:space="preserve">  &amp;loadScanDriver, // Load SD Scan</v>
      </c>
      <c r="L38" s="16" t="s">
        <v>115</v>
      </c>
      <c r="M38" s="64" t="str">
        <f>CONCATENATE("  ",L38,", // #",A38," = ",B38,IF(C38&lt;0," EXIT ",""))</f>
        <v xml:space="preserve">  NULL, // #36 = Load SD Scan</v>
      </c>
    </row>
    <row r="39" spans="1:13" x14ac:dyDescent="0.25">
      <c r="A39" s="2">
        <f>A38+1</f>
        <v>37</v>
      </c>
      <c r="B39" s="33" t="s">
        <v>109</v>
      </c>
      <c r="C39" s="1">
        <v>0</v>
      </c>
      <c r="D39" s="10">
        <v>0</v>
      </c>
      <c r="E39" s="10">
        <v>0</v>
      </c>
      <c r="F39" s="63" t="str">
        <f>CONCATENATE("  { """,B39,""" },  // #",A39," ",IF(C39&lt;0," EXIT SUBM",""))</f>
        <v xml:space="preserve">  { "Flash SD Scan" },  // #37 </v>
      </c>
      <c r="G39" s="64" t="str">
        <f>CONCATENATE("  ",D39,", // #",A39," = ",B39,IF(C39&lt;0," EXIT ",""))</f>
        <v xml:space="preserve">  0, // #37 = Flash SD Scan</v>
      </c>
      <c r="H39" s="64" t="str">
        <f>CONCATENATE("  ",E39,", // #",A39," = ",B39,IF(C39&lt;0," EXIT ",""))</f>
        <v xml:space="preserve">  0, // #37 = Flash SD Scan</v>
      </c>
      <c r="I39" s="64" t="str">
        <f>CONCATENATE("  ",C39,", // #",A39," = ",B39,IF(C39&lt;0," EXIT ",""))</f>
        <v xml:space="preserve">  0, // #37 = Flash SD Scan</v>
      </c>
      <c r="J39" s="36" t="s">
        <v>142</v>
      </c>
      <c r="K39" s="64" t="str">
        <f>IF(J39 = "NULL",CONCATENATE("  ",J39,", // #",A39," = ",B39),CONCATENATE("  &amp;",J39,", // ",B39))</f>
        <v xml:space="preserve">  &amp;flashScanDriver, // Flash SD Scan</v>
      </c>
      <c r="L39" s="16" t="s">
        <v>115</v>
      </c>
      <c r="M39" s="64" t="str">
        <f>CONCATENATE("  ",L39,", // #",A39," = ",B39,IF(C39&lt;0," EXIT ",""))</f>
        <v xml:space="preserve">  NULL, // #37 = Flash SD Scan</v>
      </c>
    </row>
    <row r="40" spans="1:13" x14ac:dyDescent="0.25">
      <c r="A40" s="2">
        <f>A39+1</f>
        <v>38</v>
      </c>
      <c r="B40" s="33" t="s">
        <v>110</v>
      </c>
      <c r="C40" s="1">
        <v>0</v>
      </c>
      <c r="D40" s="10">
        <v>0</v>
      </c>
      <c r="E40" s="10">
        <v>0</v>
      </c>
      <c r="F40" s="63" t="str">
        <f>CONCATENATE("  { """,B40,""" },  // #",A40," ",IF(C40&lt;0," EXIT SUBM",""))</f>
        <v xml:space="preserve">  { "Flash FPGA" },  // #38 </v>
      </c>
      <c r="G40" s="64" t="str">
        <f>CONCATENATE("  ",D40,", // #",A40," = ",B40,IF(C40&lt;0," EXIT ",""))</f>
        <v xml:space="preserve">  0, // #38 = Flash FPGA</v>
      </c>
      <c r="H40" s="64" t="str">
        <f>CONCATENATE("  ",E40,", // #",A40," = ",B40,IF(C40&lt;0," EXIT ",""))</f>
        <v xml:space="preserve">  0, // #38 = Flash FPGA</v>
      </c>
      <c r="I40" s="64" t="str">
        <f>CONCATENATE("  ",C40,", // #",A40," = ",B40,IF(C40&lt;0," EXIT ",""))</f>
        <v xml:space="preserve">  0, // #38 = Flash FPGA</v>
      </c>
      <c r="J40" s="36" t="s">
        <v>143</v>
      </c>
      <c r="K40" s="64" t="str">
        <f>IF(J40 = "NULL",CONCATENATE("  ",J40,", // #",A40," = ",B40),CONCATENATE("  &amp;",J40,", // ",B40))</f>
        <v xml:space="preserve">  &amp;flashFPGA, // Flash FPGA</v>
      </c>
      <c r="L40" s="16" t="s">
        <v>115</v>
      </c>
      <c r="M40" s="64" t="str">
        <f>CONCATENATE("  ",L40,", // #",A40," = ",B40,IF(C40&lt;0," EXIT ",""))</f>
        <v xml:space="preserve">  NULL, // #38 = Flash FPGA</v>
      </c>
    </row>
    <row r="41" spans="1:13" x14ac:dyDescent="0.25">
      <c r="A41" s="2">
        <f>A40+1</f>
        <v>39</v>
      </c>
      <c r="B41" s="33" t="s">
        <v>113</v>
      </c>
      <c r="C41" s="1">
        <v>0</v>
      </c>
      <c r="D41" s="10">
        <v>0</v>
      </c>
      <c r="E41" s="10">
        <v>0</v>
      </c>
      <c r="F41" s="63" t="str">
        <f>CONCATENATE("  { """,B41,""" },  // #",A41," ",IF(C41&lt;0," EXIT SUBM",""))</f>
        <v xml:space="preserve">  { "Flash Other" },  // #39 </v>
      </c>
      <c r="G41" s="64" t="str">
        <f>CONCATENATE("  ",D41,", // #",A41," = ",B41,IF(C41&lt;0," EXIT ",""))</f>
        <v xml:space="preserve">  0, // #39 = Flash Other</v>
      </c>
      <c r="H41" s="64" t="str">
        <f>CONCATENATE("  ",E41,", // #",A41," = ",B41,IF(C41&lt;0," EXIT ",""))</f>
        <v xml:space="preserve">  0, // #39 = Flash Other</v>
      </c>
      <c r="I41" s="64" t="str">
        <f>CONCATENATE("  ",C41,", // #",A41," = ",B41,IF(C41&lt;0," EXIT ",""))</f>
        <v xml:space="preserve">  0, // #39 = Flash Other</v>
      </c>
      <c r="J41" s="36" t="s">
        <v>144</v>
      </c>
      <c r="K41" s="64" t="str">
        <f>IF(J41 = "NULL",CONCATENATE("  ",J41,", // #",A41," = ",B41),CONCATENATE("  &amp;",J41,", // ",B41))</f>
        <v xml:space="preserve">  &amp;flashOther, // Flash Other</v>
      </c>
      <c r="L41" s="16" t="s">
        <v>115</v>
      </c>
      <c r="M41" s="64" t="str">
        <f>CONCATENATE("  ",L41,", // #",A41," = ",B41,IF(C41&lt;0," EXIT ",""))</f>
        <v xml:space="preserve">  NULL, // #39 = Flash Other</v>
      </c>
    </row>
    <row r="42" spans="1:13" x14ac:dyDescent="0.25">
      <c r="A42" s="2">
        <f>A41+1</f>
        <v>40</v>
      </c>
      <c r="B42" s="33" t="s">
        <v>111</v>
      </c>
      <c r="C42" s="1">
        <v>0</v>
      </c>
      <c r="D42" s="10">
        <v>0</v>
      </c>
      <c r="E42" s="10">
        <v>0</v>
      </c>
      <c r="F42" s="63" t="str">
        <f>CONCATENATE("  { """,B42,""" },  // #",A42," ",IF(C42&lt;0," EXIT SUBM",""))</f>
        <v xml:space="preserve">  { "Reload FPGA" },  // #40 </v>
      </c>
      <c r="G42" s="64" t="str">
        <f>CONCATENATE("  ",D42,", // #",A42," = ",B42,IF(C42&lt;0," EXIT ",""))</f>
        <v xml:space="preserve">  0, // #40 = Reload FPGA</v>
      </c>
      <c r="H42" s="64" t="str">
        <f>CONCATENATE("  ",E42,", // #",A42," = ",B42,IF(C42&lt;0," EXIT ",""))</f>
        <v xml:space="preserve">  0, // #40 = Reload FPGA</v>
      </c>
      <c r="I42" s="64" t="str">
        <f>CONCATENATE("  ",C42,", // #",A42," = ",B42,IF(C42&lt;0," EXIT ",""))</f>
        <v xml:space="preserve">  0, // #40 = Reload FPGA</v>
      </c>
      <c r="J42" s="16" t="s">
        <v>145</v>
      </c>
      <c r="K42" s="64" t="str">
        <f>IF(J42 = "NULL",CONCATENATE("  ",J42,", // #",A42," = ",B42),CONCATENATE("  &amp;",J42,", // ",B42))</f>
        <v xml:space="preserve">  &amp;organReset, // Reload FPGA</v>
      </c>
      <c r="L42" s="16" t="s">
        <v>115</v>
      </c>
      <c r="M42" s="64" t="str">
        <f>CONCATENATE("  ",L42,", // #",A42," = ",B42,IF(C42&lt;0," EXIT ",""))</f>
        <v xml:space="preserve">  NULL, // #40 = Reload FPGA</v>
      </c>
    </row>
    <row r="43" spans="1:13" x14ac:dyDescent="0.25">
      <c r="A43" s="2">
        <f>A42+1</f>
        <v>41</v>
      </c>
      <c r="B43" s="33" t="s">
        <v>112</v>
      </c>
      <c r="C43" s="1">
        <v>0</v>
      </c>
      <c r="D43" s="10">
        <v>0</v>
      </c>
      <c r="E43" s="10">
        <v>0</v>
      </c>
      <c r="F43" s="63" t="str">
        <f>CONCATENATE("  { """,B43,""" },  // #",A43," ",IF(C43&lt;0," EXIT SUBM",""))</f>
        <v xml:space="preserve">  { "Test" },  // #41 </v>
      </c>
      <c r="G43" s="64" t="str">
        <f>CONCATENATE("  ",D43,", // #",A43," = ",B43,IF(C43&lt;0," EXIT ",""))</f>
        <v xml:space="preserve">  0, // #41 = Test</v>
      </c>
      <c r="H43" s="64" t="str">
        <f>CONCATENATE("  ",E43,", // #",A43," = ",B43,IF(C43&lt;0," EXIT ",""))</f>
        <v xml:space="preserve">  0, // #41 = Test</v>
      </c>
      <c r="I43" s="64" t="str">
        <f>CONCATENATE("  ",C43,", // #",A43," = ",B43,IF(C43&lt;0," EXIT ",""))</f>
        <v xml:space="preserve">  0, // #41 = Test</v>
      </c>
      <c r="J43" s="16" t="s">
        <v>115</v>
      </c>
      <c r="K43" s="64" t="str">
        <f>IF(J43 = "NULL",CONCATENATE("  ",J43,", // #",A43," = ",B43),CONCATENATE("  &amp;",J43,", // ",B43))</f>
        <v xml:space="preserve">  NULL, // #41 = Test</v>
      </c>
      <c r="L43" s="16" t="s">
        <v>115</v>
      </c>
      <c r="M43" s="64" t="str">
        <f>CONCATENATE("  ",L43,", // #",A43," = ",B43,IF(C43&lt;0," EXIT ",""))</f>
        <v xml:space="preserve">  NULL, // #41 = Test</v>
      </c>
    </row>
    <row r="44" spans="1:13" x14ac:dyDescent="0.25">
      <c r="A44" s="2">
        <f>A43+1</f>
        <v>42</v>
      </c>
      <c r="B44" s="19" t="s">
        <v>114</v>
      </c>
      <c r="C44" s="19">
        <v>-1</v>
      </c>
      <c r="D44" s="19">
        <v>0</v>
      </c>
      <c r="E44" s="19">
        <v>0</v>
      </c>
      <c r="F44" s="63" t="str">
        <f>CONCATENATE("  { """,B44,""" },  // #",A44," ",IF(C44&lt;0," EXIT SUBM",""))</f>
        <v xml:space="preserve">  { "SD Flash Tools" },  // #42  EXIT SUBM</v>
      </c>
      <c r="G44" s="65" t="str">
        <f>CONCATENATE("  ",D44,", // #",A44," = ",B44,IF(C44&lt;0," EXIT ",""))</f>
        <v xml:space="preserve">  0, // #42 = SD Flash Tools EXIT </v>
      </c>
      <c r="H44" s="65" t="str">
        <f>CONCATENATE("  ",E44,", // #",A44," = ",B44,IF(C44&lt;0," EXIT ",""))</f>
        <v xml:space="preserve">  0, // #42 = SD Flash Tools EXIT </v>
      </c>
      <c r="I44" s="65" t="str">
        <f>CONCATENATE("  ",C44,", // #",A44," = ",B44,IF(C44&lt;0," EXIT ",""))</f>
        <v xml:space="preserve">  -1, // #42 = SD Flash Tools EXIT </v>
      </c>
      <c r="J44" s="16" t="s">
        <v>115</v>
      </c>
      <c r="K44" s="64" t="str">
        <f>IF(J44 = "NULL",CONCATENATE("  ",J44,", // #",A44," = ",B44),CONCATENATE("  &amp;",J44,", // ",B44))</f>
        <v xml:space="preserve">  NULL, // #42 = SD Flash Tools</v>
      </c>
      <c r="L44" s="16" t="s">
        <v>115</v>
      </c>
      <c r="M44" s="64" t="str">
        <f>CONCATENATE("  ",L44,", // #",A44," = ",B44,IF(C44&lt;0," EXIT ",""))</f>
        <v xml:space="preserve">  NULL, // #42 = SD Flash Tools EXIT </v>
      </c>
    </row>
    <row r="45" spans="1:13" x14ac:dyDescent="0.25">
      <c r="A45" s="2">
        <f>A44+1</f>
        <v>43</v>
      </c>
      <c r="B45" s="22" t="s">
        <v>4</v>
      </c>
      <c r="C45" s="18">
        <v>0</v>
      </c>
      <c r="D45" s="18">
        <v>0</v>
      </c>
      <c r="E45" s="21" t="s">
        <v>26</v>
      </c>
      <c r="F45" s="63" t="str">
        <f>CONCATENATE("  { """,B45,""" },  // #",A45," ",IF(C45&lt;0," EXIT SUBM",""))</f>
        <v xml:space="preserve">  { "Kbd Driver" },  // #43 </v>
      </c>
      <c r="G45" s="64" t="str">
        <f>CONCATENATE("  ",D45,", // #",A45," = ",B45,IF(C45&lt;0," EXIT ",""))</f>
        <v xml:space="preserve">  0, // #43 = Kbd Driver</v>
      </c>
      <c r="H45" s="64" t="str">
        <f>CONCATENATE("  ",E45,", // #",A45," = ",B45,IF(C45&lt;0," EXIT ",""))</f>
        <v xml:space="preserve">  drv_custom, // #43 = Kbd Driver</v>
      </c>
      <c r="I45" s="64" t="str">
        <f>CONCATENATE("  ",C45,", // #",A45," = ",B45,IF(C45&lt;0," EXIT ",""))</f>
        <v xml:space="preserve">  0, // #43 = Kbd Driver</v>
      </c>
      <c r="J45" s="16" t="s">
        <v>115</v>
      </c>
      <c r="K45" s="64" t="str">
        <f>IF(J45 = "NULL",CONCATENATE("  ",J45,", // #",A45," = ",B45),CONCATENATE("  &amp;",J45,", // ",B45))</f>
        <v xml:space="preserve">  NULL, // #43 = Kbd Driver</v>
      </c>
      <c r="L45" s="16" t="s">
        <v>167</v>
      </c>
      <c r="M45" s="64" t="str">
        <f>CONCATENATE("  ",L45,", // #",A45," = ",B45,IF(C45&lt;0," EXIT ",""))</f>
        <v xml:space="preserve">  &amp;boardInfo.scan_driverIdx, // #43 = Kbd Driver</v>
      </c>
    </row>
    <row r="46" spans="1:13" x14ac:dyDescent="0.25">
      <c r="A46" s="2">
        <f>A45+1</f>
        <v>44</v>
      </c>
      <c r="B46" s="1" t="s">
        <v>5</v>
      </c>
      <c r="C46" s="1">
        <v>0</v>
      </c>
      <c r="D46" s="1">
        <v>1</v>
      </c>
      <c r="E46" s="1">
        <v>40</v>
      </c>
      <c r="F46" s="63" t="str">
        <f>CONCATENATE("  { """,B46,""" },  // #",A46," ",IF(C46&lt;0," EXIT SUBM",""))</f>
        <v xml:space="preserve">  { "Velocity Min" },  // #44 </v>
      </c>
      <c r="G46" s="64" t="str">
        <f>CONCATENATE("  ",D46,", // #",A46," = ",B46,IF(C46&lt;0," EXIT ",""))</f>
        <v xml:space="preserve">  1, // #44 = Velocity Min</v>
      </c>
      <c r="H46" s="64" t="str">
        <f>CONCATENATE("  ",E46,", // #",A46," = ",B46,IF(C46&lt;0," EXIT ",""))</f>
        <v xml:space="preserve">  40, // #44 = Velocity Min</v>
      </c>
      <c r="I46" s="64" t="str">
        <f>CONCATENATE("  ",C46,", // #",A46," = ",B46,IF(C46&lt;0," EXIT ",""))</f>
        <v xml:space="preserve">  0, // #44 = Velocity Min</v>
      </c>
      <c r="J46" s="16" t="s">
        <v>115</v>
      </c>
      <c r="K46" s="64" t="str">
        <f>IF(J46 = "NULL",CONCATENATE("  ",J46,", // #",A46," = ",B46),CONCATENATE("  &amp;",J46,", // ",B46))</f>
        <v xml:space="preserve">  NULL, // #44 = Velocity Min</v>
      </c>
      <c r="L46" s="16" t="s">
        <v>115</v>
      </c>
      <c r="M46" s="64" t="str">
        <f>CONCATENATE("  ",L46,", // #",A46," = ",B46,IF(C46&lt;0," EXIT ",""))</f>
        <v xml:space="preserve">  NULL, // #44 = Velocity Min</v>
      </c>
    </row>
    <row r="47" spans="1:13" x14ac:dyDescent="0.25">
      <c r="A47" s="2">
        <f>A46+1</f>
        <v>45</v>
      </c>
      <c r="B47" s="1" t="s">
        <v>29</v>
      </c>
      <c r="C47" s="1">
        <v>0</v>
      </c>
      <c r="D47" s="1">
        <v>1</v>
      </c>
      <c r="E47" s="1">
        <v>40</v>
      </c>
      <c r="F47" s="63" t="str">
        <f>CONCATENATE("  { """,B47,""" },  // #",A47," ",IF(C47&lt;0," EXIT SUBM",""))</f>
        <v xml:space="preserve">  { "Velocity MaxAdj" },  // #45 </v>
      </c>
      <c r="G47" s="64" t="str">
        <f>CONCATENATE("  ",D47,", // #",A47," = ",B47,IF(C47&lt;0," EXIT ",""))</f>
        <v xml:space="preserve">  1, // #45 = Velocity MaxAdj</v>
      </c>
      <c r="H47" s="64" t="str">
        <f>CONCATENATE("  ",E47,", // #",A47," = ",B47,IF(C47&lt;0," EXIT ",""))</f>
        <v xml:space="preserve">  40, // #45 = Velocity MaxAdj</v>
      </c>
      <c r="I47" s="64" t="str">
        <f>CONCATENATE("  ",C47,", // #",A47," = ",B47,IF(C47&lt;0," EXIT ",""))</f>
        <v xml:space="preserve">  0, // #45 = Velocity MaxAdj</v>
      </c>
      <c r="J47" s="16" t="s">
        <v>115</v>
      </c>
      <c r="K47" s="64" t="str">
        <f>IF(J47 = "NULL",CONCATENATE("  ",J47,", // #",A47," = ",B47),CONCATENATE("  &amp;",J47,", // ",B47))</f>
        <v xml:space="preserve">  NULL, // #45 = Velocity MaxAdj</v>
      </c>
      <c r="L47" s="16" t="s">
        <v>115</v>
      </c>
      <c r="M47" s="64" t="str">
        <f>CONCATENATE("  ",L47,", // #",A47," = ",B47,IF(C47&lt;0," EXIT ",""))</f>
        <v xml:space="preserve">  NULL, // #45 = Velocity MaxAdj</v>
      </c>
    </row>
    <row r="48" spans="1:13" s="12" customFormat="1" x14ac:dyDescent="0.25">
      <c r="A48" s="2">
        <f>A47+1</f>
        <v>46</v>
      </c>
      <c r="B48" s="1" t="s">
        <v>6</v>
      </c>
      <c r="C48" s="1">
        <v>0</v>
      </c>
      <c r="D48" s="1">
        <v>1</v>
      </c>
      <c r="E48" s="1">
        <v>30</v>
      </c>
      <c r="F48" s="63" t="str">
        <f>CONCATENATE("  { """,B48,""" },  // #",A48," ",IF(C48&lt;0," EXIT SUBM",""))</f>
        <v xml:space="preserve">  { "Velocity Slope" },  // #46 </v>
      </c>
      <c r="G48" s="64" t="str">
        <f>CONCATENATE("  ",D48,", // #",A48," = ",B48,IF(C48&lt;0," EXIT ",""))</f>
        <v xml:space="preserve">  1, // #46 = Velocity Slope</v>
      </c>
      <c r="H48" s="64" t="str">
        <f>CONCATENATE("  ",E48,", // #",A48," = ",B48,IF(C48&lt;0," EXIT ",""))</f>
        <v xml:space="preserve">  30, // #46 = Velocity Slope</v>
      </c>
      <c r="I48" s="64" t="str">
        <f>CONCATENATE("  ",C48,", // #",A48," = ",B48,IF(C48&lt;0," EXIT ",""))</f>
        <v xml:space="preserve">  0, // #46 = Velocity Slope</v>
      </c>
      <c r="J48" s="16" t="s">
        <v>115</v>
      </c>
      <c r="K48" s="64" t="str">
        <f>IF(J48 = "NULL",CONCATENATE("  ",J48,", // #",A48," = ",B48),CONCATENATE("  &amp;",J48,", // ",B48))</f>
        <v xml:space="preserve">  NULL, // #46 = Velocity Slope</v>
      </c>
      <c r="L48" s="16" t="s">
        <v>170</v>
      </c>
      <c r="M48" s="64" t="str">
        <f>CONCATENATE("  ",L48,", // #",A48," = ",B48,IF(C48&lt;0," EXIT ",""))</f>
        <v xml:space="preserve">  &amp;organModel.fatarVelocityFac, // #46 = Velocity Slope</v>
      </c>
    </row>
    <row r="49" spans="1:13" x14ac:dyDescent="0.25">
      <c r="A49" s="2">
        <f>A48+1</f>
        <v>47</v>
      </c>
      <c r="B49" s="1" t="s">
        <v>14</v>
      </c>
      <c r="C49" s="1">
        <v>0</v>
      </c>
      <c r="D49" s="1">
        <v>12</v>
      </c>
      <c r="E49" s="1">
        <v>60</v>
      </c>
      <c r="F49" s="63" t="str">
        <f>CONCATENATE("  { """,B49,""" },  // #",A49," ",IF(C49&lt;0," EXIT SUBM",""))</f>
        <v xml:space="preserve">  { "Upper Base" },  // #47 </v>
      </c>
      <c r="G49" s="64" t="str">
        <f>CONCATENATE("  ",D49,", // #",A49," = ",B49,IF(C49&lt;0," EXIT ",""))</f>
        <v xml:space="preserve">  12, // #47 = Upper Base</v>
      </c>
      <c r="H49" s="64" t="str">
        <f>CONCATENATE("  ",E49,", // #",A49," = ",B49,IF(C49&lt;0," EXIT ",""))</f>
        <v xml:space="preserve">  60, // #47 = Upper Base</v>
      </c>
      <c r="I49" s="64" t="str">
        <f>CONCATENATE("  ",C49,", // #",A49," = ",B49,IF(C49&lt;0," EXIT ",""))</f>
        <v xml:space="preserve">  0, // #47 = Upper Base</v>
      </c>
      <c r="J49" s="16" t="s">
        <v>115</v>
      </c>
      <c r="K49" s="64" t="str">
        <f>IF(J49 = "NULL",CONCATENATE("  ",J49,", // #",A49," = ",B49),CONCATENATE("  &amp;",J49,", // ",B49))</f>
        <v xml:space="preserve">  NULL, // #47 = Upper Base</v>
      </c>
      <c r="L49" s="16" t="s">
        <v>171</v>
      </c>
      <c r="M49" s="64" t="str">
        <f>CONCATENATE("  ",L49,", // #",A49," = ",B49,IF(C49&lt;0," EXIT ",""))</f>
        <v xml:space="preserve">  &amp;midiSettings.channel, // #47 = Upper Base</v>
      </c>
    </row>
    <row r="50" spans="1:13" x14ac:dyDescent="0.25">
      <c r="A50" s="2">
        <f>A49+1</f>
        <v>48</v>
      </c>
      <c r="B50" s="1" t="s">
        <v>15</v>
      </c>
      <c r="C50" s="1">
        <v>0</v>
      </c>
      <c r="D50" s="1">
        <v>12</v>
      </c>
      <c r="E50" s="1">
        <v>60</v>
      </c>
      <c r="F50" s="63" t="str">
        <f>CONCATENATE("  { """,B50,""" },  // #",A50," ",IF(C50&lt;0," EXIT SUBM",""))</f>
        <v xml:space="preserve">  { "Lower Base" },  // #48 </v>
      </c>
      <c r="G50" s="64" t="str">
        <f>CONCATENATE("  ",D50,", // #",A50," = ",B50,IF(C50&lt;0," EXIT ",""))</f>
        <v xml:space="preserve">  12, // #48 = Lower Base</v>
      </c>
      <c r="H50" s="64" t="str">
        <f>CONCATENATE("  ",E50,", // #",A50," = ",B50,IF(C50&lt;0," EXIT ",""))</f>
        <v xml:space="preserve">  60, // #48 = Lower Base</v>
      </c>
      <c r="I50" s="64" t="str">
        <f>CONCATENATE("  ",C50,", // #",A50," = ",B50,IF(C50&lt;0," EXIT ",""))</f>
        <v xml:space="preserve">  0, // #48 = Lower Base</v>
      </c>
      <c r="J50" s="16" t="s">
        <v>115</v>
      </c>
      <c r="K50" s="64" t="str">
        <f>IF(J50 = "NULL",CONCATENATE("  ",J50,", // #",A50," = ",B50),CONCATENATE("  &amp;",J50,", // ",B50))</f>
        <v xml:space="preserve">  NULL, // #48 = Lower Base</v>
      </c>
      <c r="L50" s="52" t="s">
        <v>168</v>
      </c>
      <c r="M50" s="64" t="str">
        <f>CONCATENATE("  ",L50,", // #",A50," = ",B50,IF(C50&lt;0," EXIT ",""))</f>
        <v xml:space="preserve">  &amp;midiSettings.channelLower, // #48 = Lower Base</v>
      </c>
    </row>
    <row r="51" spans="1:13" x14ac:dyDescent="0.25">
      <c r="A51" s="2">
        <f>A50+1</f>
        <v>49</v>
      </c>
      <c r="B51" s="1" t="s">
        <v>16</v>
      </c>
      <c r="C51" s="1">
        <v>0</v>
      </c>
      <c r="D51" s="1">
        <v>12</v>
      </c>
      <c r="E51" s="1">
        <v>60</v>
      </c>
      <c r="F51" s="63" t="str">
        <f>CONCATENATE("  { """,B51,""" },  // #",A51," ",IF(C51&lt;0," EXIT SUBM",""))</f>
        <v xml:space="preserve">  { "Pedal Base" },  // #49 </v>
      </c>
      <c r="G51" s="64" t="str">
        <f>CONCATENATE("  ",D51,", // #",A51," = ",B51,IF(C51&lt;0," EXIT ",""))</f>
        <v xml:space="preserve">  12, // #49 = Pedal Base</v>
      </c>
      <c r="H51" s="64" t="str">
        <f>CONCATENATE("  ",E51,", // #",A51," = ",B51,IF(C51&lt;0," EXIT ",""))</f>
        <v xml:space="preserve">  60, // #49 = Pedal Base</v>
      </c>
      <c r="I51" s="64" t="str">
        <f>CONCATENATE("  ",C51,", // #",A51," = ",B51,IF(C51&lt;0," EXIT ",""))</f>
        <v xml:space="preserve">  0, // #49 = Pedal Base</v>
      </c>
      <c r="J51" s="16" t="s">
        <v>115</v>
      </c>
      <c r="K51" s="64" t="str">
        <f>IF(J51 = "NULL",CONCATENATE("  ",J51,", // #",A51," = ",B51),CONCATENATE("  &amp;",J51,", // ",B51))</f>
        <v xml:space="preserve">  NULL, // #49 = Pedal Base</v>
      </c>
      <c r="L51" s="52" t="s">
        <v>169</v>
      </c>
      <c r="M51" s="64" t="str">
        <f>CONCATENATE("  ",L51,", // #",A51," = ",B51,IF(C51&lt;0," EXIT ",""))</f>
        <v xml:space="preserve">  &amp;midiSettings.channelPedal, // #49 = Pedal Base</v>
      </c>
    </row>
    <row r="52" spans="1:13" x14ac:dyDescent="0.25">
      <c r="A52" s="2">
        <f>A51+1</f>
        <v>50</v>
      </c>
      <c r="B52" s="19" t="s">
        <v>78</v>
      </c>
      <c r="C52" s="19">
        <v>-1</v>
      </c>
      <c r="D52" s="19">
        <v>0</v>
      </c>
      <c r="E52" s="19">
        <v>0</v>
      </c>
      <c r="F52" s="63" t="str">
        <f>CONCATENATE("  { """,B52,""" },  // #",A52," ",IF(C52&lt;0," EXIT SUBM",""))</f>
        <v xml:space="preserve">  { "(Keyboard)" },  // #50  EXIT SUBM</v>
      </c>
      <c r="G52" s="65" t="str">
        <f>CONCATENATE("  ",D52,", // #",A52," = ",B52,IF(C52&lt;0," EXIT ",""))</f>
        <v xml:space="preserve">  0, // #50 = (Keyboard) EXIT </v>
      </c>
      <c r="H52" s="65" t="str">
        <f>CONCATENATE("  ",E52,", // #",A52," = ",B52,IF(C52&lt;0," EXIT ",""))</f>
        <v xml:space="preserve">  0, // #50 = (Keyboard) EXIT </v>
      </c>
      <c r="I52" s="65" t="str">
        <f>CONCATENATE("  ",C52,", // #",A52," = ",B52,IF(C52&lt;0," EXIT ",""))</f>
        <v xml:space="preserve">  -1, // #50 = (Keyboard) EXIT </v>
      </c>
      <c r="J52" s="16" t="s">
        <v>115</v>
      </c>
      <c r="K52" s="64" t="str">
        <f>IF(J52 = "NULL",CONCATENATE("  ",J52,", // #",A52," = ",B52),CONCATENATE("  &amp;",J52,", // ",B52))</f>
        <v xml:space="preserve">  NULL, // #50 = (Keyboard)</v>
      </c>
      <c r="L52" s="16" t="s">
        <v>115</v>
      </c>
      <c r="M52" s="64" t="str">
        <f>CONCATENATE("  ",L52,", // #",A52," = ",B52,IF(C52&lt;0," EXIT ",""))</f>
        <v xml:space="preserve">  NULL, // #50 = (Keyboard) EXIT </v>
      </c>
    </row>
    <row r="53" spans="1:13" x14ac:dyDescent="0.25">
      <c r="F53" s="63" t="s">
        <v>18</v>
      </c>
      <c r="G53" s="63" t="s">
        <v>18</v>
      </c>
      <c r="H53" s="63" t="s">
        <v>18</v>
      </c>
      <c r="I53" s="63" t="s">
        <v>18</v>
      </c>
      <c r="J53" s="1"/>
      <c r="K53" s="63" t="s">
        <v>18</v>
      </c>
      <c r="L53" s="1"/>
      <c r="M53" s="63" t="s">
        <v>18</v>
      </c>
    </row>
    <row r="54" spans="1:13" s="28" customFormat="1" x14ac:dyDescent="0.25">
      <c r="A54" s="39"/>
      <c r="E54" s="40"/>
      <c r="F54" s="40"/>
      <c r="G54" s="40"/>
      <c r="J54" s="41"/>
      <c r="L54" s="41"/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2"/>
  <sheetViews>
    <sheetView topLeftCell="A36" zoomScaleNormal="100" workbookViewId="0">
      <selection activeCell="M2" sqref="M2"/>
    </sheetView>
  </sheetViews>
  <sheetFormatPr baseColWidth="10" defaultRowHeight="15" x14ac:dyDescent="0.25"/>
  <cols>
    <col min="1" max="1" width="8.140625" style="3" customWidth="1"/>
    <col min="2" max="2" width="20.140625" style="1" customWidth="1"/>
    <col min="3" max="3" width="14.7109375" style="43" customWidth="1"/>
    <col min="4" max="4" width="10.140625" style="43" customWidth="1"/>
    <col min="5" max="5" width="10.140625" style="1" customWidth="1"/>
    <col min="6" max="6" width="10.140625" style="43" customWidth="1"/>
    <col min="7" max="8" width="17.28515625" style="1" customWidth="1"/>
    <col min="9" max="9" width="19" style="10" customWidth="1"/>
    <col min="10" max="10" width="14.85546875" style="10" customWidth="1"/>
    <col min="11" max="11" width="14.85546875" style="1" customWidth="1"/>
    <col min="12" max="12" width="75.28515625" style="1" customWidth="1"/>
    <col min="13" max="13" width="36.42578125" style="10" customWidth="1"/>
    <col min="14" max="14" width="31.5703125" style="10" customWidth="1"/>
    <col min="15" max="16384" width="11.42578125" style="10"/>
  </cols>
  <sheetData>
    <row r="1" spans="1:14" s="6" customFormat="1" ht="45.75" customHeight="1" x14ac:dyDescent="0.25">
      <c r="A1" s="5" t="s">
        <v>0</v>
      </c>
      <c r="B1" s="5" t="s">
        <v>28</v>
      </c>
      <c r="C1" s="79" t="s">
        <v>20</v>
      </c>
      <c r="D1" s="79" t="s">
        <v>21</v>
      </c>
      <c r="E1" s="79" t="s">
        <v>22</v>
      </c>
      <c r="F1" s="79" t="s">
        <v>24</v>
      </c>
      <c r="G1" s="61" t="s">
        <v>166</v>
      </c>
      <c r="H1" s="61" t="s">
        <v>136</v>
      </c>
      <c r="I1" s="67" t="s">
        <v>204</v>
      </c>
      <c r="J1" s="67" t="s">
        <v>201</v>
      </c>
      <c r="K1" s="67" t="s">
        <v>202</v>
      </c>
      <c r="L1" s="47" t="s">
        <v>203</v>
      </c>
      <c r="M1" s="100" t="s">
        <v>239</v>
      </c>
      <c r="N1" s="77" t="s">
        <v>17</v>
      </c>
    </row>
    <row r="2" spans="1:14" x14ac:dyDescent="0.25">
      <c r="A2" s="2">
        <v>0</v>
      </c>
      <c r="B2" s="1" t="s">
        <v>1</v>
      </c>
      <c r="C2" s="38" t="s">
        <v>227</v>
      </c>
      <c r="D2" s="43">
        <v>1</v>
      </c>
      <c r="E2" s="43">
        <v>16</v>
      </c>
      <c r="F2" s="43">
        <v>1</v>
      </c>
      <c r="G2" s="52" t="str">
        <f>CONCATENATE("MenuValues[",A2,"]")</f>
        <v>MenuValues[0]</v>
      </c>
      <c r="H2" s="52" t="s">
        <v>115</v>
      </c>
      <c r="I2" s="68" t="str">
        <f>CONCATENATE("""",B2,""", ")</f>
        <v xml:space="preserve">"Upper Channel", </v>
      </c>
      <c r="J2" s="69" t="str">
        <f>IF(G2="NULL",CONCATENATE(G2,", "),CONCATENATE("&amp;",G2,", "))</f>
        <v xml:space="preserve">&amp;MenuValues[0], </v>
      </c>
      <c r="K2" s="69" t="str">
        <f>IF(H2="NULL",CONCATENATE(H2,", "),CONCATENATE("&amp;",H2,", "))</f>
        <v xml:space="preserve">NULL, </v>
      </c>
      <c r="L2" s="63" t="str">
        <f t="shared" ref="L2" si="0">CONCATENATE("  {",I2,C2,", ",J2,K2,D2,", ",E2,"},")</f>
        <v xml:space="preserve">  {"Upper Channel", m_upper_ch, &amp;MenuValues[0], NULL, 1, 16},</v>
      </c>
      <c r="M2" s="10" t="str">
        <f xml:space="preserve"> CONCATENATE("  ",F2,",  // ",B2)</f>
        <v xml:space="preserve">  1,  // Upper Channel</v>
      </c>
      <c r="N2" s="78" t="str">
        <f>CONCATENATE("  ",C2,",")</f>
        <v xml:space="preserve">  m_upper_ch,</v>
      </c>
    </row>
    <row r="3" spans="1:14" x14ac:dyDescent="0.25">
      <c r="A3" s="2">
        <f t="shared" ref="A3:A66" si="1">A2+1</f>
        <v>1</v>
      </c>
      <c r="B3" s="1" t="s">
        <v>2</v>
      </c>
      <c r="C3" s="43" t="s">
        <v>228</v>
      </c>
      <c r="D3" s="43">
        <v>1</v>
      </c>
      <c r="E3" s="43">
        <v>16</v>
      </c>
      <c r="F3" s="43">
        <v>2</v>
      </c>
      <c r="G3" s="52" t="str">
        <f>CONCATENATE("MenuValues[",A3,"]")</f>
        <v>MenuValues[1]</v>
      </c>
      <c r="H3" s="52" t="s">
        <v>115</v>
      </c>
      <c r="I3" s="68" t="str">
        <f t="shared" ref="I3:I66" si="2">CONCATENATE("""",B3,""", ")</f>
        <v xml:space="preserve">"Lower Channel", </v>
      </c>
      <c r="J3" s="69" t="str">
        <f t="shared" ref="J3:J66" si="3">IF(G3="NULL",CONCATENATE(G3,", "),CONCATENATE("&amp;",G3,", "))</f>
        <v xml:space="preserve">&amp;MenuValues[1], </v>
      </c>
      <c r="K3" s="69" t="str">
        <f t="shared" ref="K3:K66" si="4">IF(H3="NULL",CONCATENATE(H3,", "),CONCATENATE("&amp;",H3,", "))</f>
        <v xml:space="preserve">NULL, </v>
      </c>
      <c r="L3" s="63" t="str">
        <f>CONCATENATE("  {",I3,C3,", ",J3,K3,D3,", ",E3,"},")</f>
        <v xml:space="preserve">  {"Lower Channel", m_lower_ch, &amp;MenuValues[1], NULL, 1, 16},</v>
      </c>
      <c r="M3" s="48" t="str">
        <f t="shared" ref="M3:M66" si="5" xml:space="preserve"> CONCATENATE("  ",F3,",  // ",B3)</f>
        <v xml:space="preserve">  2,  // Lower Channel</v>
      </c>
      <c r="N3" s="78" t="str">
        <f t="shared" ref="N3:N11" si="6">CONCATENATE("  ",C3,",")</f>
        <v xml:space="preserve">  m_lower_ch,</v>
      </c>
    </row>
    <row r="4" spans="1:14" x14ac:dyDescent="0.25">
      <c r="A4" s="44">
        <f t="shared" si="1"/>
        <v>2</v>
      </c>
      <c r="B4" s="1" t="s">
        <v>3</v>
      </c>
      <c r="C4" s="43" t="s">
        <v>229</v>
      </c>
      <c r="D4" s="43">
        <v>1</v>
      </c>
      <c r="E4" s="43">
        <v>16</v>
      </c>
      <c r="F4" s="43">
        <v>3</v>
      </c>
      <c r="G4" s="52" t="str">
        <f>CONCATENATE("MenuValues[",A4,"]")</f>
        <v>MenuValues[2]</v>
      </c>
      <c r="H4" s="52" t="s">
        <v>115</v>
      </c>
      <c r="I4" s="68" t="str">
        <f t="shared" si="2"/>
        <v xml:space="preserve">"Pedal Channel", </v>
      </c>
      <c r="J4" s="69" t="str">
        <f t="shared" si="3"/>
        <v xml:space="preserve">&amp;MenuValues[2], </v>
      </c>
      <c r="K4" s="69" t="str">
        <f t="shared" si="4"/>
        <v xml:space="preserve">NULL, </v>
      </c>
      <c r="L4" s="63" t="str">
        <f>CONCATENATE("  {",I4,C4,", ",J4,K4,D4,", ",E4,"},")</f>
        <v xml:space="preserve">  {"Pedal Channel", m_pedal_ch, &amp;MenuValues[2], NULL, 1, 16},</v>
      </c>
      <c r="M4" s="48" t="str">
        <f t="shared" si="5"/>
        <v xml:space="preserve">  3,  // Pedal Channel</v>
      </c>
      <c r="N4" s="78" t="str">
        <f t="shared" si="6"/>
        <v xml:space="preserve">  m_pedal_ch,</v>
      </c>
    </row>
    <row r="5" spans="1:14" x14ac:dyDescent="0.25">
      <c r="A5" s="44">
        <f t="shared" si="1"/>
        <v>3</v>
      </c>
      <c r="B5" s="1" t="s">
        <v>77</v>
      </c>
      <c r="C5" s="43" t="s">
        <v>217</v>
      </c>
      <c r="D5" s="43">
        <v>-1</v>
      </c>
      <c r="E5" s="1">
        <v>127</v>
      </c>
      <c r="F5" s="43">
        <v>-1</v>
      </c>
      <c r="G5" s="52" t="str">
        <f>CONCATENATE("MenuValues[",A5,"]")</f>
        <v>MenuValues[3]</v>
      </c>
      <c r="H5" s="52" t="s">
        <v>115</v>
      </c>
      <c r="I5" s="68" t="str">
        <f t="shared" si="2"/>
        <v xml:space="preserve">"Pitchwheel Pot", </v>
      </c>
      <c r="J5" s="69" t="str">
        <f t="shared" si="3"/>
        <v xml:space="preserve">&amp;MenuValues[3], </v>
      </c>
      <c r="K5" s="69" t="str">
        <f t="shared" si="4"/>
        <v xml:space="preserve">NULL, </v>
      </c>
      <c r="L5" s="63" t="str">
        <f>CONCATENATE("  {",I5,C5,", ",J5,K5,D5,", ",E5,"},")</f>
        <v xml:space="preserve">  {"Pitchwheel Pot", m_pitchwheel, &amp;MenuValues[3], NULL, -1, 127},</v>
      </c>
      <c r="M5" s="48" t="str">
        <f t="shared" si="5"/>
        <v xml:space="preserve">  -1,  // Pitchwheel Pot</v>
      </c>
      <c r="N5" s="78" t="str">
        <f t="shared" si="6"/>
        <v xml:space="preserve">  m_pitchwheel,</v>
      </c>
    </row>
    <row r="6" spans="1:14" x14ac:dyDescent="0.25">
      <c r="A6" s="44">
        <f t="shared" si="1"/>
        <v>4</v>
      </c>
      <c r="B6" s="1" t="s">
        <v>76</v>
      </c>
      <c r="C6" s="43" t="s">
        <v>230</v>
      </c>
      <c r="D6" s="43">
        <v>-1</v>
      </c>
      <c r="E6" s="1">
        <v>127</v>
      </c>
      <c r="F6" s="43">
        <v>-1</v>
      </c>
      <c r="G6" s="52" t="str">
        <f>CONCATENATE("MenuValues[",A6,"]")</f>
        <v>MenuValues[4]</v>
      </c>
      <c r="H6" s="52" t="s">
        <v>115</v>
      </c>
      <c r="I6" s="68" t="str">
        <f t="shared" si="2"/>
        <v xml:space="preserve">"Modulation Pot", </v>
      </c>
      <c r="J6" s="69" t="str">
        <f t="shared" si="3"/>
        <v xml:space="preserve">&amp;MenuValues[4], </v>
      </c>
      <c r="K6" s="69" t="str">
        <f t="shared" si="4"/>
        <v xml:space="preserve">NULL, </v>
      </c>
      <c r="L6" s="63" t="str">
        <f>CONCATENATE("  {",I6,C6,", ",J6,K6,D6,", ",E6,"},")</f>
        <v xml:space="preserve">  {"Modulation Pot", m_mod_pot, &amp;MenuValues[4], NULL, -1, 127},</v>
      </c>
      <c r="M6" s="48" t="str">
        <f t="shared" si="5"/>
        <v xml:space="preserve">  -1,  // Modulation Pot</v>
      </c>
      <c r="N6" s="78" t="str">
        <f t="shared" si="6"/>
        <v xml:space="preserve">  m_mod_pot,</v>
      </c>
    </row>
    <row r="7" spans="1:14" s="12" customFormat="1" x14ac:dyDescent="0.25">
      <c r="A7" s="44">
        <f t="shared" si="1"/>
        <v>5</v>
      </c>
      <c r="B7" s="1" t="s">
        <v>30</v>
      </c>
      <c r="C7" s="43" t="s">
        <v>157</v>
      </c>
      <c r="D7" s="43">
        <v>-1</v>
      </c>
      <c r="E7" s="43">
        <v>-1</v>
      </c>
      <c r="F7" s="43">
        <v>-1</v>
      </c>
      <c r="G7" s="52" t="s">
        <v>115</v>
      </c>
      <c r="H7" s="52" t="s">
        <v>115</v>
      </c>
      <c r="I7" s="68" t="str">
        <f t="shared" si="2"/>
        <v xml:space="preserve">"Keyboard", </v>
      </c>
      <c r="J7" s="69" t="str">
        <f t="shared" si="3"/>
        <v xml:space="preserve">NULL, </v>
      </c>
      <c r="K7" s="69" t="str">
        <f t="shared" si="4"/>
        <v xml:space="preserve">NULL, </v>
      </c>
      <c r="L7" s="63" t="str">
        <f>CONCATENATE("  {",I7,C7,", ",J7,K7,D7,", ",E7,"},")</f>
        <v xml:space="preserve">  {"Keyboard", m_kbd_driver, NULL, NULL, -1, -1},</v>
      </c>
      <c r="M7" s="48" t="str">
        <f t="shared" si="5"/>
        <v xml:space="preserve">  -1,  // Keyboard</v>
      </c>
      <c r="N7" s="78" t="str">
        <f t="shared" si="6"/>
        <v xml:space="preserve">  m_kbd_driver,</v>
      </c>
    </row>
    <row r="8" spans="1:14" s="12" customFormat="1" x14ac:dyDescent="0.25">
      <c r="A8" s="44">
        <f t="shared" si="1"/>
        <v>6</v>
      </c>
      <c r="B8" s="1" t="s">
        <v>7</v>
      </c>
      <c r="C8" s="43" t="s">
        <v>231</v>
      </c>
      <c r="D8" s="43">
        <v>-1</v>
      </c>
      <c r="E8" s="43">
        <v>-1</v>
      </c>
      <c r="F8" s="43">
        <v>-1</v>
      </c>
      <c r="G8" s="52" t="s">
        <v>115</v>
      </c>
      <c r="H8" s="52" t="s">
        <v>115</v>
      </c>
      <c r="I8" s="68" t="str">
        <f t="shared" si="2"/>
        <v xml:space="preserve">"Pot Assign", </v>
      </c>
      <c r="J8" s="69" t="str">
        <f t="shared" si="3"/>
        <v xml:space="preserve">NULL, </v>
      </c>
      <c r="K8" s="69" t="str">
        <f t="shared" si="4"/>
        <v xml:space="preserve">NULL, </v>
      </c>
      <c r="L8" s="63" t="str">
        <f>CONCATENATE("  {",I8,C8,", ",J8,K8,D8,", ",E8,"},")</f>
        <v xml:space="preserve">  {"Pot Assign", m_pot_assign, NULL, NULL, -1, -1},</v>
      </c>
      <c r="M8" s="48" t="str">
        <f t="shared" si="5"/>
        <v xml:space="preserve">  -1,  // Pot Assign</v>
      </c>
      <c r="N8" s="78" t="str">
        <f t="shared" si="6"/>
        <v xml:space="preserve">  m_pot_assign,</v>
      </c>
    </row>
    <row r="9" spans="1:14" s="12" customFormat="1" x14ac:dyDescent="0.25">
      <c r="A9" s="44">
        <f t="shared" si="1"/>
        <v>7</v>
      </c>
      <c r="B9" s="1" t="s">
        <v>8</v>
      </c>
      <c r="C9" s="43" t="s">
        <v>232</v>
      </c>
      <c r="D9" s="43">
        <v>-1</v>
      </c>
      <c r="E9" s="43">
        <v>-1</v>
      </c>
      <c r="F9" s="43">
        <v>-1</v>
      </c>
      <c r="G9" s="52" t="s">
        <v>115</v>
      </c>
      <c r="H9" s="52" t="s">
        <v>115</v>
      </c>
      <c r="I9" s="68" t="str">
        <f t="shared" si="2"/>
        <v xml:space="preserve">"Button Assign", </v>
      </c>
      <c r="J9" s="69" t="str">
        <f t="shared" si="3"/>
        <v xml:space="preserve">NULL, </v>
      </c>
      <c r="K9" s="69" t="str">
        <f t="shared" si="4"/>
        <v xml:space="preserve">NULL, </v>
      </c>
      <c r="L9" s="63" t="str">
        <f>CONCATENATE("  {",I9,C9,", ",J9,K9,D9,", ",E9,"},")</f>
        <v xml:space="preserve">  {"Button Assign", m_btn_assign, NULL, NULL, -1, -1},</v>
      </c>
      <c r="M9" s="48" t="str">
        <f t="shared" si="5"/>
        <v xml:space="preserve">  -1,  // Button Assign</v>
      </c>
      <c r="N9" s="78" t="str">
        <f t="shared" si="6"/>
        <v xml:space="preserve">  m_btn_assign,</v>
      </c>
    </row>
    <row r="10" spans="1:14" s="12" customFormat="1" x14ac:dyDescent="0.25">
      <c r="A10" s="44">
        <f t="shared" si="1"/>
        <v>8</v>
      </c>
      <c r="B10" s="1" t="s">
        <v>59</v>
      </c>
      <c r="C10" s="43" t="s">
        <v>233</v>
      </c>
      <c r="D10" s="43">
        <v>-1</v>
      </c>
      <c r="E10" s="43">
        <v>-1</v>
      </c>
      <c r="F10" s="43">
        <v>-1</v>
      </c>
      <c r="G10" s="52" t="s">
        <v>115</v>
      </c>
      <c r="H10" s="52" t="s">
        <v>115</v>
      </c>
      <c r="I10" s="68" t="str">
        <f t="shared" si="2"/>
        <v xml:space="preserve">"Button Mode", </v>
      </c>
      <c r="J10" s="69" t="str">
        <f t="shared" si="3"/>
        <v xml:space="preserve">NULL, </v>
      </c>
      <c r="K10" s="69" t="str">
        <f t="shared" si="4"/>
        <v xml:space="preserve">NULL, </v>
      </c>
      <c r="L10" s="63" t="str">
        <f>CONCATENATE("  {",I10,C10,", ",J10,K10,D10,", ",E10,"},")</f>
        <v xml:space="preserve">  {"Button Mode", m_btn_mode, NULL, NULL, -1, -1},</v>
      </c>
      <c r="M10" s="48" t="str">
        <f t="shared" si="5"/>
        <v xml:space="preserve">  -1,  // Button Mode</v>
      </c>
      <c r="N10" s="78" t="str">
        <f t="shared" si="6"/>
        <v xml:space="preserve">  m_btn_mode,</v>
      </c>
    </row>
    <row r="11" spans="1:14" x14ac:dyDescent="0.25">
      <c r="A11" s="44">
        <f t="shared" si="1"/>
        <v>9</v>
      </c>
      <c r="B11" s="1" t="s">
        <v>104</v>
      </c>
      <c r="C11" s="43" t="s">
        <v>164</v>
      </c>
      <c r="D11" s="43">
        <v>-1</v>
      </c>
      <c r="E11" s="1">
        <v>-1</v>
      </c>
      <c r="F11" s="43">
        <v>-1</v>
      </c>
      <c r="G11" s="52" t="s">
        <v>115</v>
      </c>
      <c r="H11" s="52" t="s">
        <v>115</v>
      </c>
      <c r="I11" s="68" t="str">
        <f t="shared" si="2"/>
        <v xml:space="preserve">"End", </v>
      </c>
      <c r="J11" s="69" t="str">
        <f t="shared" si="3"/>
        <v xml:space="preserve">NULL, </v>
      </c>
      <c r="K11" s="69" t="str">
        <f t="shared" si="4"/>
        <v xml:space="preserve">NULL, </v>
      </c>
      <c r="L11" s="63" t="str">
        <f>CONCATENATE("  {",I11,C11,", ",J11,K11,D11,", ",E11,"},")</f>
        <v xml:space="preserve">  {"End", m_main_end, NULL, NULL, -1, -1},</v>
      </c>
      <c r="M11" s="48" t="str">
        <f t="shared" si="5"/>
        <v xml:space="preserve">  -1,  // End</v>
      </c>
      <c r="N11" s="78" t="str">
        <f t="shared" si="6"/>
        <v xml:space="preserve">  m_main_end,</v>
      </c>
    </row>
    <row r="12" spans="1:14" x14ac:dyDescent="0.25">
      <c r="A12" s="44">
        <f t="shared" si="1"/>
        <v>10</v>
      </c>
      <c r="B12" s="20" t="s">
        <v>9</v>
      </c>
      <c r="C12" s="43" t="s">
        <v>231</v>
      </c>
      <c r="D12" s="43">
        <v>-1</v>
      </c>
      <c r="E12" s="43">
        <v>127</v>
      </c>
      <c r="F12" s="43">
        <v>12</v>
      </c>
      <c r="G12" s="52" t="str">
        <f>CONCATENATE("MenuValues[",A12,"]")</f>
        <v>MenuValues[10]</v>
      </c>
      <c r="H12" s="52" t="s">
        <v>115</v>
      </c>
      <c r="I12" s="68" t="str">
        <f t="shared" si="2"/>
        <v xml:space="preserve">"Pot 1 CC", </v>
      </c>
      <c r="J12" s="69" t="str">
        <f t="shared" si="3"/>
        <v xml:space="preserve">&amp;MenuValues[10], </v>
      </c>
      <c r="K12" s="69" t="str">
        <f t="shared" si="4"/>
        <v xml:space="preserve">NULL, </v>
      </c>
      <c r="L12" s="63" t="str">
        <f>CONCATENATE("  {",I12,C12,", ",J12,K12,D12,", ",E12,"},")</f>
        <v xml:space="preserve">  {"Pot 1 CC", m_pot_assign, &amp;MenuValues[10], NULL, -1, 127},</v>
      </c>
      <c r="M12" s="48" t="str">
        <f t="shared" si="5"/>
        <v xml:space="preserve">  12,  // Pot 1 CC</v>
      </c>
      <c r="N12" s="78" t="s">
        <v>218</v>
      </c>
    </row>
    <row r="13" spans="1:14" x14ac:dyDescent="0.25">
      <c r="A13" s="44">
        <f t="shared" si="1"/>
        <v>11</v>
      </c>
      <c r="B13" s="1" t="s">
        <v>10</v>
      </c>
      <c r="C13" s="43" t="s">
        <v>231</v>
      </c>
      <c r="D13" s="43">
        <v>-1</v>
      </c>
      <c r="E13" s="43">
        <v>127</v>
      </c>
      <c r="F13" s="43">
        <v>13</v>
      </c>
      <c r="G13" s="52" t="str">
        <f>CONCATENATE("MenuValues[",A13,"]")</f>
        <v>MenuValues[11]</v>
      </c>
      <c r="H13" s="52" t="s">
        <v>115</v>
      </c>
      <c r="I13" s="68" t="str">
        <f t="shared" si="2"/>
        <v xml:space="preserve">"Pot 2 CC", </v>
      </c>
      <c r="J13" s="69" t="str">
        <f t="shared" si="3"/>
        <v xml:space="preserve">&amp;MenuValues[11], </v>
      </c>
      <c r="K13" s="69" t="str">
        <f t="shared" si="4"/>
        <v xml:space="preserve">NULL, </v>
      </c>
      <c r="L13" s="63" t="str">
        <f>CONCATENATE("  {",I13,C13,", ",J13,K13,D13,", ",E13,"},")</f>
        <v xml:space="preserve">  {"Pot 2 CC", m_pot_assign, &amp;MenuValues[11], NULL, -1, 127},</v>
      </c>
      <c r="M13" s="48" t="str">
        <f t="shared" si="5"/>
        <v xml:space="preserve">  13,  // Pot 2 CC</v>
      </c>
      <c r="N13" s="78"/>
    </row>
    <row r="14" spans="1:14" x14ac:dyDescent="0.25">
      <c r="A14" s="44">
        <f t="shared" si="1"/>
        <v>12</v>
      </c>
      <c r="B14" s="1" t="s">
        <v>11</v>
      </c>
      <c r="C14" s="43" t="s">
        <v>231</v>
      </c>
      <c r="D14" s="43">
        <v>-1</v>
      </c>
      <c r="E14" s="43">
        <v>127</v>
      </c>
      <c r="F14" s="43">
        <v>14</v>
      </c>
      <c r="G14" s="52" t="str">
        <f>CONCATENATE("MenuValues[",A14,"]")</f>
        <v>MenuValues[12]</v>
      </c>
      <c r="H14" s="52" t="s">
        <v>115</v>
      </c>
      <c r="I14" s="68" t="str">
        <f t="shared" si="2"/>
        <v xml:space="preserve">"Pot 3 CC", </v>
      </c>
      <c r="J14" s="69" t="str">
        <f t="shared" si="3"/>
        <v xml:space="preserve">&amp;MenuValues[12], </v>
      </c>
      <c r="K14" s="69" t="str">
        <f t="shared" si="4"/>
        <v xml:space="preserve">NULL, </v>
      </c>
      <c r="L14" s="63" t="str">
        <f>CONCATENATE("  {",I14,C14,", ",J14,K14,D14,", ",E14,"},")</f>
        <v xml:space="preserve">  {"Pot 3 CC", m_pot_assign, &amp;MenuValues[12], NULL, -1, 127},</v>
      </c>
      <c r="M14" s="48" t="str">
        <f t="shared" si="5"/>
        <v xml:space="preserve">  14,  // Pot 3 CC</v>
      </c>
    </row>
    <row r="15" spans="1:14" x14ac:dyDescent="0.25">
      <c r="A15" s="44">
        <f t="shared" si="1"/>
        <v>13</v>
      </c>
      <c r="B15" s="1" t="s">
        <v>12</v>
      </c>
      <c r="C15" s="43" t="s">
        <v>231</v>
      </c>
      <c r="D15" s="43">
        <v>-1</v>
      </c>
      <c r="E15" s="43">
        <v>127</v>
      </c>
      <c r="F15" s="43">
        <v>15</v>
      </c>
      <c r="G15" s="52" t="str">
        <f>CONCATENATE("MenuValues[",A15,"]")</f>
        <v>MenuValues[13]</v>
      </c>
      <c r="H15" s="52" t="s">
        <v>115</v>
      </c>
      <c r="I15" s="68" t="str">
        <f t="shared" si="2"/>
        <v xml:space="preserve">"Pot 4 CC", </v>
      </c>
      <c r="J15" s="69" t="str">
        <f t="shared" si="3"/>
        <v xml:space="preserve">&amp;MenuValues[13], </v>
      </c>
      <c r="K15" s="69" t="str">
        <f t="shared" si="4"/>
        <v xml:space="preserve">NULL, </v>
      </c>
      <c r="L15" s="63" t="str">
        <f>CONCATENATE("  {",I15,C15,", ",J15,K15,D15,", ",E15,"},")</f>
        <v xml:space="preserve">  {"Pot 4 CC", m_pot_assign, &amp;MenuValues[13], NULL, -1, 127},</v>
      </c>
      <c r="M15" s="48" t="str">
        <f t="shared" si="5"/>
        <v xml:space="preserve">  15,  // Pot 4 CC</v>
      </c>
      <c r="N15" s="11"/>
    </row>
    <row r="16" spans="1:14" s="12" customFormat="1" x14ac:dyDescent="0.25">
      <c r="A16" s="44">
        <f t="shared" si="1"/>
        <v>14</v>
      </c>
      <c r="B16" s="1" t="s">
        <v>31</v>
      </c>
      <c r="C16" s="43" t="s">
        <v>231</v>
      </c>
      <c r="D16" s="43">
        <v>-1</v>
      </c>
      <c r="E16" s="43">
        <v>127</v>
      </c>
      <c r="F16" s="43">
        <v>-1</v>
      </c>
      <c r="G16" s="52" t="str">
        <f>CONCATENATE("MenuValues[",A16,"]")</f>
        <v>MenuValues[14]</v>
      </c>
      <c r="H16" s="52" t="s">
        <v>115</v>
      </c>
      <c r="I16" s="68" t="str">
        <f t="shared" si="2"/>
        <v xml:space="preserve">"Pot 5 CC", </v>
      </c>
      <c r="J16" s="69" t="str">
        <f t="shared" si="3"/>
        <v xml:space="preserve">&amp;MenuValues[14], </v>
      </c>
      <c r="K16" s="69" t="str">
        <f t="shared" si="4"/>
        <v xml:space="preserve">NULL, </v>
      </c>
      <c r="L16" s="63" t="str">
        <f>CONCATENATE("  {",I16,C16,", ",J16,K16,D16,", ",E16,"},")</f>
        <v xml:space="preserve">  {"Pot 5 CC", m_pot_assign, &amp;MenuValues[14], NULL, -1, 127},</v>
      </c>
      <c r="M16" s="48" t="str">
        <f t="shared" si="5"/>
        <v xml:space="preserve">  -1,  // Pot 5 CC</v>
      </c>
      <c r="N16" s="11"/>
    </row>
    <row r="17" spans="1:14" x14ac:dyDescent="0.25">
      <c r="A17" s="44">
        <f t="shared" si="1"/>
        <v>15</v>
      </c>
      <c r="B17" s="1" t="s">
        <v>32</v>
      </c>
      <c r="C17" s="43" t="s">
        <v>231</v>
      </c>
      <c r="D17" s="43">
        <v>-1</v>
      </c>
      <c r="E17" s="43">
        <v>127</v>
      </c>
      <c r="F17" s="43">
        <v>-1</v>
      </c>
      <c r="G17" s="52" t="str">
        <f>CONCATENATE("MenuValues[",A17,"]")</f>
        <v>MenuValues[15]</v>
      </c>
      <c r="H17" s="52" t="s">
        <v>115</v>
      </c>
      <c r="I17" s="68" t="str">
        <f t="shared" si="2"/>
        <v xml:space="preserve">"Pot 6 CC", </v>
      </c>
      <c r="J17" s="69" t="str">
        <f t="shared" si="3"/>
        <v xml:space="preserve">&amp;MenuValues[15], </v>
      </c>
      <c r="K17" s="69" t="str">
        <f t="shared" si="4"/>
        <v xml:space="preserve">NULL, </v>
      </c>
      <c r="L17" s="63" t="str">
        <f>CONCATENATE("  {",I17,C17,", ",J17,K17,D17,", ",E17,"},")</f>
        <v xml:space="preserve">  {"Pot 6 CC", m_pot_assign, &amp;MenuValues[15], NULL, -1, 127},</v>
      </c>
      <c r="M17" s="48" t="str">
        <f t="shared" si="5"/>
        <v xml:space="preserve">  -1,  // Pot 6 CC</v>
      </c>
      <c r="N17" s="11"/>
    </row>
    <row r="18" spans="1:14" x14ac:dyDescent="0.25">
      <c r="A18" s="44">
        <f t="shared" si="1"/>
        <v>16</v>
      </c>
      <c r="B18" s="1" t="s">
        <v>33</v>
      </c>
      <c r="C18" s="43" t="s">
        <v>231</v>
      </c>
      <c r="D18" s="43">
        <v>-1</v>
      </c>
      <c r="E18" s="43">
        <v>127</v>
      </c>
      <c r="F18" s="43">
        <v>-1</v>
      </c>
      <c r="G18" s="52" t="str">
        <f>CONCATENATE("MenuValues[",A18,"]")</f>
        <v>MenuValues[16]</v>
      </c>
      <c r="H18" s="52" t="s">
        <v>115</v>
      </c>
      <c r="I18" s="68" t="str">
        <f t="shared" si="2"/>
        <v xml:space="preserve">"Pot 7 CC", </v>
      </c>
      <c r="J18" s="69" t="str">
        <f t="shared" si="3"/>
        <v xml:space="preserve">&amp;MenuValues[16], </v>
      </c>
      <c r="K18" s="69" t="str">
        <f t="shared" si="4"/>
        <v xml:space="preserve">NULL, </v>
      </c>
      <c r="L18" s="63" t="str">
        <f>CONCATENATE("  {",I18,C18,", ",J18,K18,D18,", ",E18,"},")</f>
        <v xml:space="preserve">  {"Pot 7 CC", m_pot_assign, &amp;MenuValues[16], NULL, -1, 127},</v>
      </c>
      <c r="M18" s="48" t="str">
        <f t="shared" si="5"/>
        <v xml:space="preserve">  -1,  // Pot 7 CC</v>
      </c>
      <c r="N18" s="11"/>
    </row>
    <row r="19" spans="1:14" x14ac:dyDescent="0.25">
      <c r="A19" s="44">
        <f t="shared" si="1"/>
        <v>17</v>
      </c>
      <c r="B19" s="1" t="s">
        <v>34</v>
      </c>
      <c r="C19" s="43" t="s">
        <v>231</v>
      </c>
      <c r="D19" s="43">
        <v>-1</v>
      </c>
      <c r="E19" s="43">
        <v>127</v>
      </c>
      <c r="F19" s="43">
        <v>-1</v>
      </c>
      <c r="G19" s="52" t="str">
        <f>CONCATENATE("MenuValues[",A19,"]")</f>
        <v>MenuValues[17]</v>
      </c>
      <c r="H19" s="52" t="s">
        <v>115</v>
      </c>
      <c r="I19" s="68" t="str">
        <f t="shared" si="2"/>
        <v xml:space="preserve">"Pot 8 CC", </v>
      </c>
      <c r="J19" s="69" t="str">
        <f t="shared" si="3"/>
        <v xml:space="preserve">&amp;MenuValues[17], </v>
      </c>
      <c r="K19" s="69" t="str">
        <f t="shared" si="4"/>
        <v xml:space="preserve">NULL, </v>
      </c>
      <c r="L19" s="63" t="str">
        <f>CONCATENATE("  {",I19,C19,", ",J19,K19,D19,", ",E19,"},")</f>
        <v xml:space="preserve">  {"Pot 8 CC", m_pot_assign, &amp;MenuValues[17], NULL, -1, 127},</v>
      </c>
      <c r="M19" s="48" t="str">
        <f t="shared" si="5"/>
        <v xml:space="preserve">  -1,  // Pot 8 CC</v>
      </c>
      <c r="N19" s="11"/>
    </row>
    <row r="20" spans="1:14" x14ac:dyDescent="0.25">
      <c r="A20" s="44">
        <f t="shared" si="1"/>
        <v>18</v>
      </c>
      <c r="B20" s="1" t="s">
        <v>35</v>
      </c>
      <c r="C20" s="43" t="s">
        <v>231</v>
      </c>
      <c r="D20" s="43">
        <v>-1</v>
      </c>
      <c r="E20" s="43">
        <v>127</v>
      </c>
      <c r="F20" s="43">
        <v>-1</v>
      </c>
      <c r="G20" s="52" t="str">
        <f>CONCATENATE("MenuValues[",A20,"]")</f>
        <v>MenuValues[18]</v>
      </c>
      <c r="H20" s="52" t="s">
        <v>115</v>
      </c>
      <c r="I20" s="68" t="str">
        <f t="shared" si="2"/>
        <v xml:space="preserve">"Pot 9 CC", </v>
      </c>
      <c r="J20" s="69" t="str">
        <f t="shared" si="3"/>
        <v xml:space="preserve">&amp;MenuValues[18], </v>
      </c>
      <c r="K20" s="69" t="str">
        <f t="shared" si="4"/>
        <v xml:space="preserve">NULL, </v>
      </c>
      <c r="L20" s="63" t="str">
        <f>CONCATENATE("  {",I20,C20,", ",J20,K20,D20,", ",E20,"},")</f>
        <v xml:space="preserve">  {"Pot 9 CC", m_pot_assign, &amp;MenuValues[18], NULL, -1, 127},</v>
      </c>
      <c r="M20" s="48" t="str">
        <f t="shared" si="5"/>
        <v xml:space="preserve">  -1,  // Pot 9 CC</v>
      </c>
      <c r="N20" s="11"/>
    </row>
    <row r="21" spans="1:14" s="12" customFormat="1" x14ac:dyDescent="0.25">
      <c r="A21" s="44">
        <f t="shared" si="1"/>
        <v>19</v>
      </c>
      <c r="B21" s="1" t="s">
        <v>36</v>
      </c>
      <c r="C21" s="43" t="s">
        <v>231</v>
      </c>
      <c r="D21" s="43">
        <v>-1</v>
      </c>
      <c r="E21" s="43">
        <v>127</v>
      </c>
      <c r="F21" s="43">
        <v>-1</v>
      </c>
      <c r="G21" s="52" t="str">
        <f>CONCATENATE("MenuValues[",A21,"]")</f>
        <v>MenuValues[19]</v>
      </c>
      <c r="H21" s="52" t="s">
        <v>115</v>
      </c>
      <c r="I21" s="68" t="str">
        <f t="shared" si="2"/>
        <v xml:space="preserve">"Pot 10 CC", </v>
      </c>
      <c r="J21" s="69" t="str">
        <f t="shared" si="3"/>
        <v xml:space="preserve">&amp;MenuValues[19], </v>
      </c>
      <c r="K21" s="69" t="str">
        <f t="shared" si="4"/>
        <v xml:space="preserve">NULL, </v>
      </c>
      <c r="L21" s="63" t="str">
        <f>CONCATENATE("  {",I21,C21,", ",J21,K21,D21,", ",E21,"},")</f>
        <v xml:space="preserve">  {"Pot 10 CC", m_pot_assign, &amp;MenuValues[19], NULL, -1, 127},</v>
      </c>
      <c r="M21" s="48" t="str">
        <f t="shared" si="5"/>
        <v xml:space="preserve">  -1,  // Pot 10 CC</v>
      </c>
      <c r="N21" s="11"/>
    </row>
    <row r="22" spans="1:14" x14ac:dyDescent="0.25">
      <c r="A22" s="44">
        <f t="shared" si="1"/>
        <v>20</v>
      </c>
      <c r="B22" s="1" t="s">
        <v>37</v>
      </c>
      <c r="C22" s="43" t="s">
        <v>231</v>
      </c>
      <c r="D22" s="43">
        <v>-1</v>
      </c>
      <c r="E22" s="43">
        <v>127</v>
      </c>
      <c r="F22" s="43">
        <v>-1</v>
      </c>
      <c r="G22" s="52" t="str">
        <f>CONCATENATE("MenuValues[",A22,"]")</f>
        <v>MenuValues[20]</v>
      </c>
      <c r="H22" s="52" t="s">
        <v>115</v>
      </c>
      <c r="I22" s="68" t="str">
        <f t="shared" si="2"/>
        <v xml:space="preserve">"Pot 11 CC", </v>
      </c>
      <c r="J22" s="69" t="str">
        <f t="shared" si="3"/>
        <v xml:space="preserve">&amp;MenuValues[20], </v>
      </c>
      <c r="K22" s="69" t="str">
        <f t="shared" si="4"/>
        <v xml:space="preserve">NULL, </v>
      </c>
      <c r="L22" s="63" t="str">
        <f>CONCATENATE("  {",I22,C22,", ",J22,K22,D22,", ",E22,"},")</f>
        <v xml:space="preserve">  {"Pot 11 CC", m_pot_assign, &amp;MenuValues[20], NULL, -1, 127},</v>
      </c>
      <c r="M22" s="48" t="str">
        <f t="shared" si="5"/>
        <v xml:space="preserve">  -1,  // Pot 11 CC</v>
      </c>
      <c r="N22" s="11"/>
    </row>
    <row r="23" spans="1:14" x14ac:dyDescent="0.25">
      <c r="A23" s="44">
        <f t="shared" si="1"/>
        <v>21</v>
      </c>
      <c r="B23" s="1" t="s">
        <v>38</v>
      </c>
      <c r="C23" s="43" t="s">
        <v>231</v>
      </c>
      <c r="D23" s="43">
        <v>-1</v>
      </c>
      <c r="E23" s="43">
        <v>127</v>
      </c>
      <c r="F23" s="43">
        <v>-1</v>
      </c>
      <c r="G23" s="52" t="str">
        <f>CONCATENATE("MenuValues[",A23,"]")</f>
        <v>MenuValues[21]</v>
      </c>
      <c r="H23" s="52" t="s">
        <v>115</v>
      </c>
      <c r="I23" s="68" t="str">
        <f t="shared" si="2"/>
        <v xml:space="preserve">"Pot 12 CC", </v>
      </c>
      <c r="J23" s="69" t="str">
        <f t="shared" si="3"/>
        <v xml:space="preserve">&amp;MenuValues[21], </v>
      </c>
      <c r="K23" s="69" t="str">
        <f t="shared" si="4"/>
        <v xml:space="preserve">NULL, </v>
      </c>
      <c r="L23" s="63" t="str">
        <f>CONCATENATE("  {",I23,C23,", ",J23,K23,D23,", ",E23,"},")</f>
        <v xml:space="preserve">  {"Pot 12 CC", m_pot_assign, &amp;MenuValues[21], NULL, -1, 127},</v>
      </c>
      <c r="M23" s="48" t="str">
        <f t="shared" si="5"/>
        <v xml:space="preserve">  -1,  // Pot 12 CC</v>
      </c>
      <c r="N23" s="11"/>
    </row>
    <row r="24" spans="1:14" x14ac:dyDescent="0.25">
      <c r="A24" s="44">
        <f t="shared" si="1"/>
        <v>22</v>
      </c>
      <c r="B24" s="1" t="s">
        <v>39</v>
      </c>
      <c r="C24" s="43" t="s">
        <v>231</v>
      </c>
      <c r="D24" s="43">
        <v>-1</v>
      </c>
      <c r="E24" s="43">
        <v>127</v>
      </c>
      <c r="F24" s="43">
        <v>-1</v>
      </c>
      <c r="G24" s="52" t="str">
        <f>CONCATENATE("MenuValues[",A24,"]")</f>
        <v>MenuValues[22]</v>
      </c>
      <c r="H24" s="52" t="s">
        <v>115</v>
      </c>
      <c r="I24" s="68" t="str">
        <f t="shared" si="2"/>
        <v xml:space="preserve">"Pot 13 CC", </v>
      </c>
      <c r="J24" s="69" t="str">
        <f t="shared" si="3"/>
        <v xml:space="preserve">&amp;MenuValues[22], </v>
      </c>
      <c r="K24" s="69" t="str">
        <f t="shared" si="4"/>
        <v xml:space="preserve">NULL, </v>
      </c>
      <c r="L24" s="63" t="str">
        <f>CONCATENATE("  {",I24,C24,", ",J24,K24,D24,", ",E24,"},")</f>
        <v xml:space="preserve">  {"Pot 13 CC", m_pot_assign, &amp;MenuValues[22], NULL, -1, 127},</v>
      </c>
      <c r="M24" s="48" t="str">
        <f t="shared" si="5"/>
        <v xml:space="preserve">  -1,  // Pot 13 CC</v>
      </c>
      <c r="N24" s="11"/>
    </row>
    <row r="25" spans="1:14" x14ac:dyDescent="0.25">
      <c r="A25" s="44">
        <f t="shared" si="1"/>
        <v>23</v>
      </c>
      <c r="B25" s="1" t="s">
        <v>40</v>
      </c>
      <c r="C25" s="43" t="s">
        <v>231</v>
      </c>
      <c r="D25" s="43">
        <v>-1</v>
      </c>
      <c r="E25" s="43">
        <v>127</v>
      </c>
      <c r="F25" s="43">
        <v>-1</v>
      </c>
      <c r="G25" s="52" t="str">
        <f>CONCATENATE("MenuValues[",A25,"]")</f>
        <v>MenuValues[23]</v>
      </c>
      <c r="H25" s="52" t="s">
        <v>115</v>
      </c>
      <c r="I25" s="68" t="str">
        <f t="shared" si="2"/>
        <v xml:space="preserve">"Pot 14 CC", </v>
      </c>
      <c r="J25" s="69" t="str">
        <f t="shared" si="3"/>
        <v xml:space="preserve">&amp;MenuValues[23], </v>
      </c>
      <c r="K25" s="69" t="str">
        <f t="shared" si="4"/>
        <v xml:space="preserve">NULL, </v>
      </c>
      <c r="L25" s="63" t="str">
        <f>CONCATENATE("  {",I25,C25,", ",J25,K25,D25,", ",E25,"},")</f>
        <v xml:space="preserve">  {"Pot 14 CC", m_pot_assign, &amp;MenuValues[23], NULL, -1, 127},</v>
      </c>
      <c r="M25" s="48" t="str">
        <f t="shared" si="5"/>
        <v xml:space="preserve">  -1,  // Pot 14 CC</v>
      </c>
      <c r="N25" s="11"/>
    </row>
    <row r="26" spans="1:14" x14ac:dyDescent="0.25">
      <c r="A26" s="44">
        <f t="shared" si="1"/>
        <v>24</v>
      </c>
      <c r="B26" s="1" t="s">
        <v>41</v>
      </c>
      <c r="C26" s="43" t="s">
        <v>231</v>
      </c>
      <c r="D26" s="43">
        <v>-1</v>
      </c>
      <c r="E26" s="43">
        <v>127</v>
      </c>
      <c r="F26" s="43">
        <v>-1</v>
      </c>
      <c r="G26" s="52" t="str">
        <f>CONCATENATE("MenuValues[",A26,"]")</f>
        <v>MenuValues[24]</v>
      </c>
      <c r="H26" s="52" t="s">
        <v>115</v>
      </c>
      <c r="I26" s="68" t="str">
        <f t="shared" si="2"/>
        <v xml:space="preserve">"Pot 15 CC", </v>
      </c>
      <c r="J26" s="69" t="str">
        <f t="shared" si="3"/>
        <v xml:space="preserve">&amp;MenuValues[24], </v>
      </c>
      <c r="K26" s="69" t="str">
        <f t="shared" si="4"/>
        <v xml:space="preserve">NULL, </v>
      </c>
      <c r="L26" s="63" t="str">
        <f>CONCATENATE("  {",I26,C26,", ",J26,K26,D26,", ",E26,"},")</f>
        <v xml:space="preserve">  {"Pot 15 CC", m_pot_assign, &amp;MenuValues[24], NULL, -1, 127},</v>
      </c>
      <c r="M26" s="48" t="str">
        <f t="shared" si="5"/>
        <v xml:space="preserve">  -1,  // Pot 15 CC</v>
      </c>
      <c r="N26" s="11"/>
    </row>
    <row r="27" spans="1:14" x14ac:dyDescent="0.25">
      <c r="A27" s="44">
        <f t="shared" si="1"/>
        <v>25</v>
      </c>
      <c r="B27" s="1" t="s">
        <v>42</v>
      </c>
      <c r="C27" s="43" t="s">
        <v>231</v>
      </c>
      <c r="D27" s="43">
        <v>-1</v>
      </c>
      <c r="E27" s="43">
        <v>127</v>
      </c>
      <c r="F27" s="43">
        <v>-1</v>
      </c>
      <c r="G27" s="52" t="str">
        <f>CONCATENATE("MenuValues[",A27,"]")</f>
        <v>MenuValues[25]</v>
      </c>
      <c r="H27" s="52" t="s">
        <v>115</v>
      </c>
      <c r="I27" s="68" t="str">
        <f t="shared" si="2"/>
        <v xml:space="preserve">"Pot 16 CC", </v>
      </c>
      <c r="J27" s="69" t="str">
        <f t="shared" si="3"/>
        <v xml:space="preserve">&amp;MenuValues[25], </v>
      </c>
      <c r="K27" s="69" t="str">
        <f t="shared" si="4"/>
        <v xml:space="preserve">NULL, </v>
      </c>
      <c r="L27" s="63" t="str">
        <f>CONCATENATE("  {",I27,C27,", ",J27,K27,D27,", ",E27,"},")</f>
        <v xml:space="preserve">  {"Pot 16 CC", m_pot_assign, &amp;MenuValues[25], NULL, -1, 127},</v>
      </c>
      <c r="M27" s="48" t="str">
        <f t="shared" si="5"/>
        <v xml:space="preserve">  -1,  // Pot 16 CC</v>
      </c>
      <c r="N27" s="11"/>
    </row>
    <row r="28" spans="1:14" x14ac:dyDescent="0.25">
      <c r="A28" s="44">
        <f t="shared" si="1"/>
        <v>26</v>
      </c>
      <c r="B28" s="19" t="s">
        <v>234</v>
      </c>
      <c r="C28" s="43" t="s">
        <v>231</v>
      </c>
      <c r="D28" s="86">
        <v>-1</v>
      </c>
      <c r="E28" s="86">
        <v>-1</v>
      </c>
      <c r="F28" s="86">
        <v>-1</v>
      </c>
      <c r="G28" s="52" t="s">
        <v>115</v>
      </c>
      <c r="H28" s="52" t="s">
        <v>115</v>
      </c>
      <c r="I28" s="68" t="str">
        <f t="shared" si="2"/>
        <v xml:space="preserve">"Pot CC", </v>
      </c>
      <c r="J28" s="69" t="str">
        <f t="shared" si="3"/>
        <v xml:space="preserve">NULL, </v>
      </c>
      <c r="K28" s="69" t="str">
        <f t="shared" si="4"/>
        <v xml:space="preserve">NULL, </v>
      </c>
      <c r="L28" s="63" t="str">
        <f>CONCATENATE("  {",I28,C28,", ",J28,K28,D28,", ",E28,"},")</f>
        <v xml:space="preserve">  {"Pot CC", m_pot_assign, NULL, NULL, -1, -1},</v>
      </c>
      <c r="M28" s="48" t="str">
        <f t="shared" si="5"/>
        <v xml:space="preserve">  -1,  // Pot CC</v>
      </c>
      <c r="N28" s="11"/>
    </row>
    <row r="29" spans="1:14" s="12" customFormat="1" x14ac:dyDescent="0.25">
      <c r="A29" s="44">
        <f t="shared" si="1"/>
        <v>27</v>
      </c>
      <c r="B29" s="20" t="s">
        <v>60</v>
      </c>
      <c r="C29" s="43" t="s">
        <v>232</v>
      </c>
      <c r="D29" s="43">
        <v>-1</v>
      </c>
      <c r="E29" s="43">
        <v>127</v>
      </c>
      <c r="F29" s="43">
        <v>40</v>
      </c>
      <c r="G29" s="52" t="str">
        <f>CONCATENATE("MenuValues[",A29,"]")</f>
        <v>MenuValues[27]</v>
      </c>
      <c r="H29" s="52" t="s">
        <v>115</v>
      </c>
      <c r="I29" s="68" t="str">
        <f t="shared" si="2"/>
        <v xml:space="preserve">"Btn 1 CC/Prg", </v>
      </c>
      <c r="J29" s="69" t="str">
        <f t="shared" si="3"/>
        <v xml:space="preserve">&amp;MenuValues[27], </v>
      </c>
      <c r="K29" s="69" t="str">
        <f t="shared" si="4"/>
        <v xml:space="preserve">NULL, </v>
      </c>
      <c r="L29" s="63" t="str">
        <f>CONCATENATE("  {",I29,C29,", ",J29,K29,D29,", ",E29,"},")</f>
        <v xml:space="preserve">  {"Btn 1 CC/Prg", m_btn_assign, &amp;MenuValues[27], NULL, -1, 127},</v>
      </c>
      <c r="M29" s="48" t="str">
        <f t="shared" si="5"/>
        <v xml:space="preserve">  40,  // Btn 1 CC/Prg</v>
      </c>
      <c r="N29" s="11"/>
    </row>
    <row r="30" spans="1:14" x14ac:dyDescent="0.25">
      <c r="A30" s="44">
        <f t="shared" si="1"/>
        <v>28</v>
      </c>
      <c r="B30" s="1" t="s">
        <v>61</v>
      </c>
      <c r="C30" s="43" t="s">
        <v>232</v>
      </c>
      <c r="D30" s="43">
        <v>-1</v>
      </c>
      <c r="E30" s="43">
        <v>127</v>
      </c>
      <c r="F30" s="43">
        <v>41</v>
      </c>
      <c r="G30" s="52" t="str">
        <f>CONCATENATE("MenuValues[",A30,"]")</f>
        <v>MenuValues[28]</v>
      </c>
      <c r="H30" s="52" t="s">
        <v>115</v>
      </c>
      <c r="I30" s="68" t="str">
        <f t="shared" si="2"/>
        <v xml:space="preserve">"Btn 2 CC/Prg", </v>
      </c>
      <c r="J30" s="69" t="str">
        <f t="shared" si="3"/>
        <v xml:space="preserve">&amp;MenuValues[28], </v>
      </c>
      <c r="K30" s="69" t="str">
        <f t="shared" si="4"/>
        <v xml:space="preserve">NULL, </v>
      </c>
      <c r="L30" s="63" t="str">
        <f>CONCATENATE("  {",I30,C30,", ",J30,K30,D30,", ",E30,"},")</f>
        <v xml:space="preserve">  {"Btn 2 CC/Prg", m_btn_assign, &amp;MenuValues[28], NULL, -1, 127},</v>
      </c>
      <c r="M30" s="48" t="str">
        <f t="shared" si="5"/>
        <v xml:space="preserve">  41,  // Btn 2 CC/Prg</v>
      </c>
      <c r="N30" s="11"/>
    </row>
    <row r="31" spans="1:14" x14ac:dyDescent="0.25">
      <c r="A31" s="44">
        <f t="shared" si="1"/>
        <v>29</v>
      </c>
      <c r="B31" s="1" t="s">
        <v>62</v>
      </c>
      <c r="C31" s="43" t="s">
        <v>232</v>
      </c>
      <c r="D31" s="43">
        <v>-1</v>
      </c>
      <c r="E31" s="43">
        <v>127</v>
      </c>
      <c r="F31" s="43">
        <v>42</v>
      </c>
      <c r="G31" s="52" t="str">
        <f>CONCATENATE("MenuValues[",A31,"]")</f>
        <v>MenuValues[29]</v>
      </c>
      <c r="H31" s="52" t="s">
        <v>115</v>
      </c>
      <c r="I31" s="68" t="str">
        <f t="shared" si="2"/>
        <v xml:space="preserve">"Btn 3 CC/Prg", </v>
      </c>
      <c r="J31" s="69" t="str">
        <f t="shared" si="3"/>
        <v xml:space="preserve">&amp;MenuValues[29], </v>
      </c>
      <c r="K31" s="69" t="str">
        <f t="shared" si="4"/>
        <v xml:space="preserve">NULL, </v>
      </c>
      <c r="L31" s="63" t="str">
        <f>CONCATENATE("  {",I31,C31,", ",J31,K31,D31,", ",E31,"},")</f>
        <v xml:space="preserve">  {"Btn 3 CC/Prg", m_btn_assign, &amp;MenuValues[29], NULL, -1, 127},</v>
      </c>
      <c r="M31" s="48" t="str">
        <f t="shared" si="5"/>
        <v xml:space="preserve">  42,  // Btn 3 CC/Prg</v>
      </c>
      <c r="N31" s="11"/>
    </row>
    <row r="32" spans="1:14" x14ac:dyDescent="0.25">
      <c r="A32" s="44">
        <f t="shared" si="1"/>
        <v>30</v>
      </c>
      <c r="B32" s="1" t="s">
        <v>63</v>
      </c>
      <c r="C32" s="43" t="s">
        <v>232</v>
      </c>
      <c r="D32" s="43">
        <v>-1</v>
      </c>
      <c r="E32" s="43">
        <v>127</v>
      </c>
      <c r="F32" s="43">
        <v>43</v>
      </c>
      <c r="G32" s="52" t="str">
        <f>CONCATENATE("MenuValues[",A32,"]")</f>
        <v>MenuValues[30]</v>
      </c>
      <c r="H32" s="52" t="s">
        <v>115</v>
      </c>
      <c r="I32" s="68" t="str">
        <f t="shared" si="2"/>
        <v xml:space="preserve">"Btn 4 CC/Prg", </v>
      </c>
      <c r="J32" s="69" t="str">
        <f t="shared" si="3"/>
        <v xml:space="preserve">&amp;MenuValues[30], </v>
      </c>
      <c r="K32" s="69" t="str">
        <f t="shared" si="4"/>
        <v xml:space="preserve">NULL, </v>
      </c>
      <c r="L32" s="63" t="str">
        <f>CONCATENATE("  {",I32,C32,", ",J32,K32,D32,", ",E32,"},")</f>
        <v xml:space="preserve">  {"Btn 4 CC/Prg", m_btn_assign, &amp;MenuValues[30], NULL, -1, 127},</v>
      </c>
      <c r="M32" s="48" t="str">
        <f t="shared" si="5"/>
        <v xml:space="preserve">  43,  // Btn 4 CC/Prg</v>
      </c>
      <c r="N32" s="11"/>
    </row>
    <row r="33" spans="1:14" x14ac:dyDescent="0.25">
      <c r="A33" s="44">
        <f t="shared" si="1"/>
        <v>31</v>
      </c>
      <c r="B33" s="1" t="s">
        <v>64</v>
      </c>
      <c r="C33" s="43" t="s">
        <v>232</v>
      </c>
      <c r="D33" s="43">
        <v>-1</v>
      </c>
      <c r="E33" s="43">
        <v>127</v>
      </c>
      <c r="F33" s="43">
        <v>-1</v>
      </c>
      <c r="G33" s="52" t="str">
        <f>CONCATENATE("MenuValues[",A33,"]")</f>
        <v>MenuValues[31]</v>
      </c>
      <c r="H33" s="52" t="s">
        <v>115</v>
      </c>
      <c r="I33" s="68" t="str">
        <f t="shared" si="2"/>
        <v xml:space="preserve">"Btn 5 CC/Prg", </v>
      </c>
      <c r="J33" s="69" t="str">
        <f t="shared" si="3"/>
        <v xml:space="preserve">&amp;MenuValues[31], </v>
      </c>
      <c r="K33" s="69" t="str">
        <f t="shared" si="4"/>
        <v xml:space="preserve">NULL, </v>
      </c>
      <c r="L33" s="63" t="str">
        <f>CONCATENATE("  {",I33,C33,", ",J33,K33,D33,", ",E33,"},")</f>
        <v xml:space="preserve">  {"Btn 5 CC/Prg", m_btn_assign, &amp;MenuValues[31], NULL, -1, 127},</v>
      </c>
      <c r="M33" s="48" t="str">
        <f t="shared" si="5"/>
        <v xml:space="preserve">  -1,  // Btn 5 CC/Prg</v>
      </c>
      <c r="N33" s="11"/>
    </row>
    <row r="34" spans="1:14" x14ac:dyDescent="0.25">
      <c r="A34" s="44">
        <f t="shared" si="1"/>
        <v>32</v>
      </c>
      <c r="B34" s="1" t="s">
        <v>65</v>
      </c>
      <c r="C34" s="43" t="s">
        <v>232</v>
      </c>
      <c r="D34" s="43">
        <v>-1</v>
      </c>
      <c r="E34" s="43">
        <v>127</v>
      </c>
      <c r="F34" s="43">
        <v>-1</v>
      </c>
      <c r="G34" s="52" t="str">
        <f>CONCATENATE("MenuValues[",A34,"]")</f>
        <v>MenuValues[32]</v>
      </c>
      <c r="H34" s="52" t="s">
        <v>115</v>
      </c>
      <c r="I34" s="68" t="str">
        <f t="shared" si="2"/>
        <v xml:space="preserve">"Btn 6 CC/Prg", </v>
      </c>
      <c r="J34" s="69" t="str">
        <f t="shared" si="3"/>
        <v xml:space="preserve">&amp;MenuValues[32], </v>
      </c>
      <c r="K34" s="69" t="str">
        <f t="shared" si="4"/>
        <v xml:space="preserve">NULL, </v>
      </c>
      <c r="L34" s="63" t="str">
        <f>CONCATENATE("  {",I34,C34,", ",J34,K34,D34,", ",E34,"},")</f>
        <v xml:space="preserve">  {"Btn 6 CC/Prg", m_btn_assign, &amp;MenuValues[32], NULL, -1, 127},</v>
      </c>
      <c r="M34" s="48" t="str">
        <f t="shared" si="5"/>
        <v xml:space="preserve">  -1,  // Btn 6 CC/Prg</v>
      </c>
      <c r="N34" s="11"/>
    </row>
    <row r="35" spans="1:14" x14ac:dyDescent="0.25">
      <c r="A35" s="44">
        <f t="shared" si="1"/>
        <v>33</v>
      </c>
      <c r="B35" s="1" t="s">
        <v>66</v>
      </c>
      <c r="C35" s="43" t="s">
        <v>232</v>
      </c>
      <c r="D35" s="43">
        <v>-1</v>
      </c>
      <c r="E35" s="43">
        <v>127</v>
      </c>
      <c r="F35" s="43">
        <v>-1</v>
      </c>
      <c r="G35" s="52" t="str">
        <f>CONCATENATE("MenuValues[",A35,"]")</f>
        <v>MenuValues[33]</v>
      </c>
      <c r="H35" s="52" t="s">
        <v>115</v>
      </c>
      <c r="I35" s="68" t="str">
        <f t="shared" si="2"/>
        <v xml:space="preserve">"Btn 7 CC/Prg", </v>
      </c>
      <c r="J35" s="69" t="str">
        <f t="shared" si="3"/>
        <v xml:space="preserve">&amp;MenuValues[33], </v>
      </c>
      <c r="K35" s="69" t="str">
        <f t="shared" si="4"/>
        <v xml:space="preserve">NULL, </v>
      </c>
      <c r="L35" s="63" t="str">
        <f>CONCATENATE("  {",I35,C35,", ",J35,K35,D35,", ",E35,"},")</f>
        <v xml:space="preserve">  {"Btn 7 CC/Prg", m_btn_assign, &amp;MenuValues[33], NULL, -1, 127},</v>
      </c>
      <c r="M35" s="48" t="str">
        <f t="shared" si="5"/>
        <v xml:space="preserve">  -1,  // Btn 7 CC/Prg</v>
      </c>
      <c r="N35" s="11"/>
    </row>
    <row r="36" spans="1:14" x14ac:dyDescent="0.25">
      <c r="A36" s="44">
        <f t="shared" si="1"/>
        <v>34</v>
      </c>
      <c r="B36" s="1" t="s">
        <v>67</v>
      </c>
      <c r="C36" s="43" t="s">
        <v>232</v>
      </c>
      <c r="D36" s="43">
        <v>-1</v>
      </c>
      <c r="E36" s="43">
        <v>127</v>
      </c>
      <c r="F36" s="43">
        <v>-1</v>
      </c>
      <c r="G36" s="52" t="str">
        <f>CONCATENATE("MenuValues[",A36,"]")</f>
        <v>MenuValues[34]</v>
      </c>
      <c r="H36" s="52" t="s">
        <v>115</v>
      </c>
      <c r="I36" s="68" t="str">
        <f t="shared" si="2"/>
        <v xml:space="preserve">"Btn 8 CC/Prg", </v>
      </c>
      <c r="J36" s="69" t="str">
        <f t="shared" si="3"/>
        <v xml:space="preserve">&amp;MenuValues[34], </v>
      </c>
      <c r="K36" s="69" t="str">
        <f t="shared" si="4"/>
        <v xml:space="preserve">NULL, </v>
      </c>
      <c r="L36" s="63" t="str">
        <f>CONCATENATE("  {",I36,C36,", ",J36,K36,D36,", ",E36,"},")</f>
        <v xml:space="preserve">  {"Btn 8 CC/Prg", m_btn_assign, &amp;MenuValues[34], NULL, -1, 127},</v>
      </c>
      <c r="M36" s="48" t="str">
        <f t="shared" si="5"/>
        <v xml:space="preserve">  -1,  // Btn 8 CC/Prg</v>
      </c>
      <c r="N36" s="15"/>
    </row>
    <row r="37" spans="1:14" x14ac:dyDescent="0.25">
      <c r="A37" s="44">
        <f t="shared" si="1"/>
        <v>35</v>
      </c>
      <c r="B37" s="1" t="s">
        <v>68</v>
      </c>
      <c r="C37" s="43" t="s">
        <v>232</v>
      </c>
      <c r="D37" s="43">
        <v>-1</v>
      </c>
      <c r="E37" s="43">
        <v>127</v>
      </c>
      <c r="F37" s="43">
        <v>-1</v>
      </c>
      <c r="G37" s="52" t="str">
        <f>CONCATENATE("MenuValues[",A37,"]")</f>
        <v>MenuValues[35]</v>
      </c>
      <c r="H37" s="52" t="s">
        <v>115</v>
      </c>
      <c r="I37" s="68" t="str">
        <f t="shared" si="2"/>
        <v xml:space="preserve">"Btn 9 CC/Prg", </v>
      </c>
      <c r="J37" s="69" t="str">
        <f t="shared" si="3"/>
        <v xml:space="preserve">&amp;MenuValues[35], </v>
      </c>
      <c r="K37" s="69" t="str">
        <f t="shared" si="4"/>
        <v xml:space="preserve">NULL, </v>
      </c>
      <c r="L37" s="63" t="str">
        <f>CONCATENATE("  {",I37,C37,", ",J37,K37,D37,", ",E37,"},")</f>
        <v xml:space="preserve">  {"Btn 9 CC/Prg", m_btn_assign, &amp;MenuValues[35], NULL, -1, 127},</v>
      </c>
      <c r="M37" s="48" t="str">
        <f t="shared" si="5"/>
        <v xml:space="preserve">  -1,  // Btn 9 CC/Prg</v>
      </c>
      <c r="N37" s="15"/>
    </row>
    <row r="38" spans="1:14" x14ac:dyDescent="0.25">
      <c r="A38" s="44">
        <f t="shared" si="1"/>
        <v>36</v>
      </c>
      <c r="B38" s="1" t="s">
        <v>69</v>
      </c>
      <c r="C38" s="43" t="s">
        <v>232</v>
      </c>
      <c r="D38" s="43">
        <v>-1</v>
      </c>
      <c r="E38" s="43">
        <v>127</v>
      </c>
      <c r="F38" s="43">
        <v>-1</v>
      </c>
      <c r="G38" s="52" t="str">
        <f>CONCATENATE("MenuValues[",A38,"]")</f>
        <v>MenuValues[36]</v>
      </c>
      <c r="H38" s="52" t="s">
        <v>115</v>
      </c>
      <c r="I38" s="68" t="str">
        <f t="shared" si="2"/>
        <v xml:space="preserve">"Btn 10 CC/Prg", </v>
      </c>
      <c r="J38" s="69" t="str">
        <f t="shared" si="3"/>
        <v xml:space="preserve">&amp;MenuValues[36], </v>
      </c>
      <c r="K38" s="69" t="str">
        <f t="shared" si="4"/>
        <v xml:space="preserve">NULL, </v>
      </c>
      <c r="L38" s="63" t="str">
        <f>CONCATENATE("  {",I38,C38,", ",J38,K38,D38,", ",E38,"},")</f>
        <v xml:space="preserve">  {"Btn 10 CC/Prg", m_btn_assign, &amp;MenuValues[36], NULL, -1, 127},</v>
      </c>
      <c r="M38" s="48" t="str">
        <f t="shared" si="5"/>
        <v xml:space="preserve">  -1,  // Btn 10 CC/Prg</v>
      </c>
      <c r="N38" s="15"/>
    </row>
    <row r="39" spans="1:14" x14ac:dyDescent="0.25">
      <c r="A39" s="44">
        <f t="shared" si="1"/>
        <v>37</v>
      </c>
      <c r="B39" s="1" t="s">
        <v>70</v>
      </c>
      <c r="C39" s="43" t="s">
        <v>232</v>
      </c>
      <c r="D39" s="43">
        <v>-1</v>
      </c>
      <c r="E39" s="43">
        <v>127</v>
      </c>
      <c r="F39" s="43">
        <v>-1</v>
      </c>
      <c r="G39" s="52" t="str">
        <f>CONCATENATE("MenuValues[",A39,"]")</f>
        <v>MenuValues[37]</v>
      </c>
      <c r="H39" s="52" t="s">
        <v>115</v>
      </c>
      <c r="I39" s="68" t="str">
        <f t="shared" si="2"/>
        <v xml:space="preserve">"Btn 11 CC/Prg", </v>
      </c>
      <c r="J39" s="69" t="str">
        <f t="shared" si="3"/>
        <v xml:space="preserve">&amp;MenuValues[37], </v>
      </c>
      <c r="K39" s="69" t="str">
        <f t="shared" si="4"/>
        <v xml:space="preserve">NULL, </v>
      </c>
      <c r="L39" s="63" t="str">
        <f>CONCATENATE("  {",I39,C39,", ",J39,K39,D39,", ",E39,"},")</f>
        <v xml:space="preserve">  {"Btn 11 CC/Prg", m_btn_assign, &amp;MenuValues[37], NULL, -1, 127},</v>
      </c>
      <c r="M39" s="48" t="str">
        <f t="shared" si="5"/>
        <v xml:space="preserve">  -1,  // Btn 11 CC/Prg</v>
      </c>
      <c r="N39" s="15"/>
    </row>
    <row r="40" spans="1:14" x14ac:dyDescent="0.25">
      <c r="A40" s="44">
        <f t="shared" si="1"/>
        <v>38</v>
      </c>
      <c r="B40" s="1" t="s">
        <v>71</v>
      </c>
      <c r="C40" s="43" t="s">
        <v>232</v>
      </c>
      <c r="D40" s="43">
        <v>-1</v>
      </c>
      <c r="E40" s="43">
        <v>127</v>
      </c>
      <c r="F40" s="43">
        <v>-1</v>
      </c>
      <c r="G40" s="52" t="str">
        <f>CONCATENATE("MenuValues[",A40,"]")</f>
        <v>MenuValues[38]</v>
      </c>
      <c r="H40" s="52" t="s">
        <v>115</v>
      </c>
      <c r="I40" s="68" t="str">
        <f t="shared" si="2"/>
        <v xml:space="preserve">"Btn 12 CC/Prg", </v>
      </c>
      <c r="J40" s="69" t="str">
        <f t="shared" si="3"/>
        <v xml:space="preserve">&amp;MenuValues[38], </v>
      </c>
      <c r="K40" s="69" t="str">
        <f t="shared" si="4"/>
        <v xml:space="preserve">NULL, </v>
      </c>
      <c r="L40" s="63" t="str">
        <f>CONCATENATE("  {",I40,C40,", ",J40,K40,D40,", ",E40,"},")</f>
        <v xml:space="preserve">  {"Btn 12 CC/Prg", m_btn_assign, &amp;MenuValues[38], NULL, -1, 127},</v>
      </c>
      <c r="M40" s="48" t="str">
        <f t="shared" si="5"/>
        <v xml:space="preserve">  -1,  // Btn 12 CC/Prg</v>
      </c>
      <c r="N40" s="15"/>
    </row>
    <row r="41" spans="1:14" x14ac:dyDescent="0.25">
      <c r="A41" s="44">
        <f t="shared" si="1"/>
        <v>39</v>
      </c>
      <c r="B41" s="1" t="s">
        <v>72</v>
      </c>
      <c r="C41" s="43" t="s">
        <v>232</v>
      </c>
      <c r="D41" s="43">
        <v>-1</v>
      </c>
      <c r="E41" s="43">
        <v>127</v>
      </c>
      <c r="F41" s="43">
        <v>-1</v>
      </c>
      <c r="G41" s="52" t="str">
        <f>CONCATENATE("MenuValues[",A41,"]")</f>
        <v>MenuValues[39]</v>
      </c>
      <c r="H41" s="52" t="s">
        <v>115</v>
      </c>
      <c r="I41" s="68" t="str">
        <f t="shared" si="2"/>
        <v xml:space="preserve">"Btn 13 CC/Prg", </v>
      </c>
      <c r="J41" s="69" t="str">
        <f t="shared" si="3"/>
        <v xml:space="preserve">&amp;MenuValues[39], </v>
      </c>
      <c r="K41" s="69" t="str">
        <f t="shared" si="4"/>
        <v xml:space="preserve">NULL, </v>
      </c>
      <c r="L41" s="63" t="str">
        <f>CONCATENATE("  {",I41,C41,", ",J41,K41,D41,", ",E41,"},")</f>
        <v xml:space="preserve">  {"Btn 13 CC/Prg", m_btn_assign, &amp;MenuValues[39], NULL, -1, 127},</v>
      </c>
      <c r="M41" s="48" t="str">
        <f t="shared" si="5"/>
        <v xml:space="preserve">  -1,  // Btn 13 CC/Prg</v>
      </c>
      <c r="N41" s="15"/>
    </row>
    <row r="42" spans="1:14" x14ac:dyDescent="0.25">
      <c r="A42" s="44">
        <f t="shared" si="1"/>
        <v>40</v>
      </c>
      <c r="B42" s="1" t="s">
        <v>73</v>
      </c>
      <c r="C42" s="43" t="s">
        <v>232</v>
      </c>
      <c r="D42" s="43">
        <v>-1</v>
      </c>
      <c r="E42" s="43">
        <v>127</v>
      </c>
      <c r="F42" s="43">
        <v>-1</v>
      </c>
      <c r="G42" s="52" t="str">
        <f>CONCATENATE("MenuValues[",A42,"]")</f>
        <v>MenuValues[40]</v>
      </c>
      <c r="H42" s="52" t="s">
        <v>115</v>
      </c>
      <c r="I42" s="68" t="str">
        <f t="shared" si="2"/>
        <v xml:space="preserve">"Btn 14 CC/Prg", </v>
      </c>
      <c r="J42" s="69" t="str">
        <f t="shared" si="3"/>
        <v xml:space="preserve">&amp;MenuValues[40], </v>
      </c>
      <c r="K42" s="69" t="str">
        <f t="shared" si="4"/>
        <v xml:space="preserve">NULL, </v>
      </c>
      <c r="L42" s="63" t="str">
        <f>CONCATENATE("  {",I42,C42,", ",J42,K42,D42,", ",E42,"},")</f>
        <v xml:space="preserve">  {"Btn 14 CC/Prg", m_btn_assign, &amp;MenuValues[40], NULL, -1, 127},</v>
      </c>
      <c r="M42" s="48" t="str">
        <f t="shared" si="5"/>
        <v xml:space="preserve">  -1,  // Btn 14 CC/Prg</v>
      </c>
      <c r="N42" s="15"/>
    </row>
    <row r="43" spans="1:14" x14ac:dyDescent="0.25">
      <c r="A43" s="44">
        <f t="shared" si="1"/>
        <v>41</v>
      </c>
      <c r="B43" s="1" t="s">
        <v>74</v>
      </c>
      <c r="C43" s="43" t="s">
        <v>232</v>
      </c>
      <c r="D43" s="43">
        <v>-1</v>
      </c>
      <c r="E43" s="43">
        <v>127</v>
      </c>
      <c r="F43" s="43">
        <v>-1</v>
      </c>
      <c r="G43" s="52" t="str">
        <f>CONCATENATE("MenuValues[",A43,"]")</f>
        <v>MenuValues[41]</v>
      </c>
      <c r="H43" s="52" t="s">
        <v>115</v>
      </c>
      <c r="I43" s="68" t="str">
        <f t="shared" si="2"/>
        <v xml:space="preserve">"Btn 15 CC/Prg", </v>
      </c>
      <c r="J43" s="69" t="str">
        <f t="shared" si="3"/>
        <v xml:space="preserve">&amp;MenuValues[41], </v>
      </c>
      <c r="K43" s="69" t="str">
        <f t="shared" si="4"/>
        <v xml:space="preserve">NULL, </v>
      </c>
      <c r="L43" s="63" t="str">
        <f>CONCATENATE("  {",I43,C43,", ",J43,K43,D43,", ",E43,"},")</f>
        <v xml:space="preserve">  {"Btn 15 CC/Prg", m_btn_assign, &amp;MenuValues[41], NULL, -1, 127},</v>
      </c>
      <c r="M43" s="48" t="str">
        <f t="shared" si="5"/>
        <v xml:space="preserve">  -1,  // Btn 15 CC/Prg</v>
      </c>
      <c r="N43" s="15"/>
    </row>
    <row r="44" spans="1:14" x14ac:dyDescent="0.25">
      <c r="A44" s="44">
        <f t="shared" si="1"/>
        <v>42</v>
      </c>
      <c r="B44" s="1" t="s">
        <v>75</v>
      </c>
      <c r="C44" s="43" t="s">
        <v>232</v>
      </c>
      <c r="D44" s="43">
        <v>-1</v>
      </c>
      <c r="E44" s="43">
        <v>127</v>
      </c>
      <c r="F44" s="43">
        <v>-1</v>
      </c>
      <c r="G44" s="52" t="str">
        <f>CONCATENATE("MenuValues[",A44,"]")</f>
        <v>MenuValues[42]</v>
      </c>
      <c r="H44" s="52" t="s">
        <v>115</v>
      </c>
      <c r="I44" s="68" t="str">
        <f t="shared" si="2"/>
        <v xml:space="preserve">"Btn 16 CC/Prg", </v>
      </c>
      <c r="J44" s="69" t="str">
        <f t="shared" si="3"/>
        <v xml:space="preserve">&amp;MenuValues[42], </v>
      </c>
      <c r="K44" s="69" t="str">
        <f t="shared" si="4"/>
        <v xml:space="preserve">NULL, </v>
      </c>
      <c r="L44" s="63" t="str">
        <f>CONCATENATE("  {",I44,C44,", ",J44,K44,D44,", ",E44,"},")</f>
        <v xml:space="preserve">  {"Btn 16 CC/Prg", m_btn_assign, &amp;MenuValues[42], NULL, -1, 127},</v>
      </c>
      <c r="M44" s="48" t="str">
        <f t="shared" si="5"/>
        <v xml:space="preserve">  -1,  // Btn 16 CC/Prg</v>
      </c>
      <c r="N44" s="15"/>
    </row>
    <row r="45" spans="1:14" x14ac:dyDescent="0.25">
      <c r="A45" s="44">
        <f t="shared" si="1"/>
        <v>43</v>
      </c>
      <c r="B45" s="19" t="s">
        <v>235</v>
      </c>
      <c r="C45" s="43" t="s">
        <v>232</v>
      </c>
      <c r="D45" s="86">
        <v>-1</v>
      </c>
      <c r="E45" s="86">
        <v>-1</v>
      </c>
      <c r="F45" s="86">
        <v>-1</v>
      </c>
      <c r="G45" s="52" t="s">
        <v>115</v>
      </c>
      <c r="H45" s="52" t="s">
        <v>115</v>
      </c>
      <c r="I45" s="68" t="str">
        <f t="shared" si="2"/>
        <v xml:space="preserve">"Btn CC", </v>
      </c>
      <c r="J45" s="69" t="str">
        <f t="shared" si="3"/>
        <v xml:space="preserve">NULL, </v>
      </c>
      <c r="K45" s="69" t="str">
        <f t="shared" si="4"/>
        <v xml:space="preserve">NULL, </v>
      </c>
      <c r="L45" s="63" t="str">
        <f>CONCATENATE("  {",I45,C45,", ",J45,K45,D45,", ",E45,"},")</f>
        <v xml:space="preserve">  {"Btn CC", m_btn_assign, NULL, NULL, -1, -1},</v>
      </c>
      <c r="M45" s="48" t="str">
        <f t="shared" si="5"/>
        <v xml:space="preserve">  -1,  // Btn CC</v>
      </c>
      <c r="N45" s="15"/>
    </row>
    <row r="46" spans="1:14" x14ac:dyDescent="0.25">
      <c r="A46" s="44">
        <f t="shared" si="1"/>
        <v>44</v>
      </c>
      <c r="B46" s="20" t="s">
        <v>43</v>
      </c>
      <c r="C46" s="43" t="s">
        <v>233</v>
      </c>
      <c r="D46" s="43">
        <v>0</v>
      </c>
      <c r="E46" s="43">
        <v>3</v>
      </c>
      <c r="F46" s="43">
        <v>0</v>
      </c>
      <c r="G46" s="52" t="str">
        <f>CONCATENATE("MenuValues[",A46,"]")</f>
        <v>MenuValues[44]</v>
      </c>
      <c r="H46" s="52" t="s">
        <v>115</v>
      </c>
      <c r="I46" s="68" t="str">
        <f t="shared" si="2"/>
        <v xml:space="preserve">"Btn 1 Mode", </v>
      </c>
      <c r="J46" s="69" t="str">
        <f t="shared" si="3"/>
        <v xml:space="preserve">&amp;MenuValues[44], </v>
      </c>
      <c r="K46" s="69" t="str">
        <f t="shared" si="4"/>
        <v xml:space="preserve">NULL, </v>
      </c>
      <c r="L46" s="63" t="str">
        <f>CONCATENATE("  {",I46,C46,", ",J46,K46,D46,", ",E46,"},")</f>
        <v xml:space="preserve">  {"Btn 1 Mode", m_btn_mode, &amp;MenuValues[44], NULL, 0, 3},</v>
      </c>
      <c r="M46" s="48" t="str">
        <f t="shared" si="5"/>
        <v xml:space="preserve">  0,  // Btn 1 Mode</v>
      </c>
      <c r="N46" s="15"/>
    </row>
    <row r="47" spans="1:14" x14ac:dyDescent="0.25">
      <c r="A47" s="44">
        <f t="shared" si="1"/>
        <v>45</v>
      </c>
      <c r="B47" s="1" t="s">
        <v>44</v>
      </c>
      <c r="C47" s="43" t="s">
        <v>233</v>
      </c>
      <c r="D47" s="43">
        <v>0</v>
      </c>
      <c r="E47" s="43">
        <v>3</v>
      </c>
      <c r="F47" s="43">
        <v>0</v>
      </c>
      <c r="G47" s="52" t="str">
        <f>CONCATENATE("MenuValues[",A47,"]")</f>
        <v>MenuValues[45]</v>
      </c>
      <c r="H47" s="52" t="s">
        <v>115</v>
      </c>
      <c r="I47" s="68" t="str">
        <f t="shared" si="2"/>
        <v xml:space="preserve">"Btn 2 Mode", </v>
      </c>
      <c r="J47" s="69" t="str">
        <f t="shared" si="3"/>
        <v xml:space="preserve">&amp;MenuValues[45], </v>
      </c>
      <c r="K47" s="69" t="str">
        <f t="shared" si="4"/>
        <v xml:space="preserve">NULL, </v>
      </c>
      <c r="L47" s="63" t="str">
        <f>CONCATENATE("  {",I47,C47,", ",J47,K47,D47,", ",E47,"},")</f>
        <v xml:space="preserve">  {"Btn 2 Mode", m_btn_mode, &amp;MenuValues[45], NULL, 0, 3},</v>
      </c>
      <c r="M47" s="48" t="str">
        <f t="shared" si="5"/>
        <v xml:space="preserve">  0,  // Btn 2 Mode</v>
      </c>
      <c r="N47" s="15"/>
    </row>
    <row r="48" spans="1:14" x14ac:dyDescent="0.25">
      <c r="A48" s="44">
        <f t="shared" si="1"/>
        <v>46</v>
      </c>
      <c r="B48" s="1" t="s">
        <v>45</v>
      </c>
      <c r="C48" s="43" t="s">
        <v>233</v>
      </c>
      <c r="D48" s="43">
        <v>0</v>
      </c>
      <c r="E48" s="43">
        <v>3</v>
      </c>
      <c r="F48" s="43">
        <v>0</v>
      </c>
      <c r="G48" s="52" t="str">
        <f>CONCATENATE("MenuValues[",A48,"]")</f>
        <v>MenuValues[46]</v>
      </c>
      <c r="H48" s="52" t="s">
        <v>115</v>
      </c>
      <c r="I48" s="68" t="str">
        <f t="shared" si="2"/>
        <v xml:space="preserve">"Btn 3 Mode", </v>
      </c>
      <c r="J48" s="69" t="str">
        <f t="shared" si="3"/>
        <v xml:space="preserve">&amp;MenuValues[46], </v>
      </c>
      <c r="K48" s="69" t="str">
        <f t="shared" si="4"/>
        <v xml:space="preserve">NULL, </v>
      </c>
      <c r="L48" s="63" t="str">
        <f>CONCATENATE("  {",I48,C48,", ",J48,K48,D48,", ",E48,"},")</f>
        <v xml:space="preserve">  {"Btn 3 Mode", m_btn_mode, &amp;MenuValues[46], NULL, 0, 3},</v>
      </c>
      <c r="M48" s="48" t="str">
        <f t="shared" si="5"/>
        <v xml:space="preserve">  0,  // Btn 3 Mode</v>
      </c>
      <c r="N48" s="15"/>
    </row>
    <row r="49" spans="1:14" x14ac:dyDescent="0.25">
      <c r="A49" s="44">
        <f t="shared" si="1"/>
        <v>47</v>
      </c>
      <c r="B49" s="1" t="s">
        <v>46</v>
      </c>
      <c r="C49" s="43" t="s">
        <v>233</v>
      </c>
      <c r="D49" s="43">
        <v>0</v>
      </c>
      <c r="E49" s="43">
        <v>3</v>
      </c>
      <c r="F49" s="43">
        <v>0</v>
      </c>
      <c r="G49" s="52" t="str">
        <f>CONCATENATE("MenuValues[",A49,"]")</f>
        <v>MenuValues[47]</v>
      </c>
      <c r="H49" s="52" t="s">
        <v>115</v>
      </c>
      <c r="I49" s="68" t="str">
        <f t="shared" si="2"/>
        <v xml:space="preserve">"Btn 4 Mode", </v>
      </c>
      <c r="J49" s="69" t="str">
        <f t="shared" si="3"/>
        <v xml:space="preserve">&amp;MenuValues[47], </v>
      </c>
      <c r="K49" s="69" t="str">
        <f t="shared" si="4"/>
        <v xml:space="preserve">NULL, </v>
      </c>
      <c r="L49" s="63" t="str">
        <f>CONCATENATE("  {",I49,C49,", ",J49,K49,D49,", ",E49,"},")</f>
        <v xml:space="preserve">  {"Btn 4 Mode", m_btn_mode, &amp;MenuValues[47], NULL, 0, 3},</v>
      </c>
      <c r="M49" s="48" t="str">
        <f t="shared" si="5"/>
        <v xml:space="preserve">  0,  // Btn 4 Mode</v>
      </c>
      <c r="N49" s="15"/>
    </row>
    <row r="50" spans="1:14" x14ac:dyDescent="0.25">
      <c r="A50" s="44">
        <f t="shared" si="1"/>
        <v>48</v>
      </c>
      <c r="B50" s="1" t="s">
        <v>47</v>
      </c>
      <c r="C50" s="43" t="s">
        <v>233</v>
      </c>
      <c r="D50" s="43">
        <v>0</v>
      </c>
      <c r="E50" s="43">
        <v>3</v>
      </c>
      <c r="F50" s="43">
        <v>0</v>
      </c>
      <c r="G50" s="52" t="str">
        <f>CONCATENATE("MenuValues[",A50,"]")</f>
        <v>MenuValues[48]</v>
      </c>
      <c r="H50" s="52" t="s">
        <v>115</v>
      </c>
      <c r="I50" s="68" t="str">
        <f t="shared" si="2"/>
        <v xml:space="preserve">"Btn 5 Mode", </v>
      </c>
      <c r="J50" s="69" t="str">
        <f t="shared" si="3"/>
        <v xml:space="preserve">&amp;MenuValues[48], </v>
      </c>
      <c r="K50" s="69" t="str">
        <f t="shared" si="4"/>
        <v xml:space="preserve">NULL, </v>
      </c>
      <c r="L50" s="63" t="str">
        <f>CONCATENATE("  {",I50,C50,", ",J50,K50,D50,", ",E50,"},")</f>
        <v xml:space="preserve">  {"Btn 5 Mode", m_btn_mode, &amp;MenuValues[48], NULL, 0, 3},</v>
      </c>
      <c r="M50" s="48" t="str">
        <f t="shared" si="5"/>
        <v xml:space="preserve">  0,  // Btn 5 Mode</v>
      </c>
      <c r="N50" s="15"/>
    </row>
    <row r="51" spans="1:14" x14ac:dyDescent="0.25">
      <c r="A51" s="44">
        <f t="shared" si="1"/>
        <v>49</v>
      </c>
      <c r="B51" s="1" t="s">
        <v>48</v>
      </c>
      <c r="C51" s="43" t="s">
        <v>233</v>
      </c>
      <c r="D51" s="43">
        <v>0</v>
      </c>
      <c r="E51" s="43">
        <v>3</v>
      </c>
      <c r="F51" s="43">
        <v>0</v>
      </c>
      <c r="G51" s="52" t="str">
        <f>CONCATENATE("MenuValues[",A51,"]")</f>
        <v>MenuValues[49]</v>
      </c>
      <c r="H51" s="52" t="s">
        <v>115</v>
      </c>
      <c r="I51" s="68" t="str">
        <f t="shared" si="2"/>
        <v xml:space="preserve">"Btn 6 Mode", </v>
      </c>
      <c r="J51" s="69" t="str">
        <f t="shared" si="3"/>
        <v xml:space="preserve">&amp;MenuValues[49], </v>
      </c>
      <c r="K51" s="69" t="str">
        <f t="shared" si="4"/>
        <v xml:space="preserve">NULL, </v>
      </c>
      <c r="L51" s="63" t="str">
        <f>CONCATENATE("  {",I51,C51,", ",J51,K51,D51,", ",E51,"},")</f>
        <v xml:space="preserve">  {"Btn 6 Mode", m_btn_mode, &amp;MenuValues[49], NULL, 0, 3},</v>
      </c>
      <c r="M51" s="48" t="str">
        <f t="shared" si="5"/>
        <v xml:space="preserve">  0,  // Btn 6 Mode</v>
      </c>
      <c r="N51" s="15"/>
    </row>
    <row r="52" spans="1:14" x14ac:dyDescent="0.25">
      <c r="A52" s="44">
        <f t="shared" si="1"/>
        <v>50</v>
      </c>
      <c r="B52" s="1" t="s">
        <v>49</v>
      </c>
      <c r="C52" s="43" t="s">
        <v>233</v>
      </c>
      <c r="D52" s="43">
        <v>0</v>
      </c>
      <c r="E52" s="43">
        <v>3</v>
      </c>
      <c r="F52" s="43">
        <v>0</v>
      </c>
      <c r="G52" s="52" t="str">
        <f>CONCATENATE("MenuValues[",A52,"]")</f>
        <v>MenuValues[50]</v>
      </c>
      <c r="H52" s="52" t="s">
        <v>115</v>
      </c>
      <c r="I52" s="68" t="str">
        <f t="shared" si="2"/>
        <v xml:space="preserve">"Btn 7 Mode", </v>
      </c>
      <c r="J52" s="69" t="str">
        <f t="shared" si="3"/>
        <v xml:space="preserve">&amp;MenuValues[50], </v>
      </c>
      <c r="K52" s="69" t="str">
        <f t="shared" si="4"/>
        <v xml:space="preserve">NULL, </v>
      </c>
      <c r="L52" s="63" t="str">
        <f>CONCATENATE("  {",I52,C52,", ",J52,K52,D52,", ",E52,"},")</f>
        <v xml:space="preserve">  {"Btn 7 Mode", m_btn_mode, &amp;MenuValues[50], NULL, 0, 3},</v>
      </c>
      <c r="M52" s="48" t="str">
        <f t="shared" si="5"/>
        <v xml:space="preserve">  0,  // Btn 7 Mode</v>
      </c>
      <c r="N52" s="15"/>
    </row>
    <row r="53" spans="1:14" x14ac:dyDescent="0.25">
      <c r="A53" s="44">
        <f t="shared" si="1"/>
        <v>51</v>
      </c>
      <c r="B53" s="1" t="s">
        <v>50</v>
      </c>
      <c r="C53" s="43" t="s">
        <v>233</v>
      </c>
      <c r="D53" s="43">
        <v>0</v>
      </c>
      <c r="E53" s="43">
        <v>3</v>
      </c>
      <c r="F53" s="43">
        <v>0</v>
      </c>
      <c r="G53" s="52" t="str">
        <f>CONCATENATE("MenuValues[",A53,"]")</f>
        <v>MenuValues[51]</v>
      </c>
      <c r="H53" s="52" t="s">
        <v>115</v>
      </c>
      <c r="I53" s="68" t="str">
        <f t="shared" si="2"/>
        <v xml:space="preserve">"Btn 8 Mode", </v>
      </c>
      <c r="J53" s="69" t="str">
        <f t="shared" si="3"/>
        <v xml:space="preserve">&amp;MenuValues[51], </v>
      </c>
      <c r="K53" s="69" t="str">
        <f t="shared" si="4"/>
        <v xml:space="preserve">NULL, </v>
      </c>
      <c r="L53" s="63" t="str">
        <f>CONCATENATE("  {",I53,C53,", ",J53,K53,D53,", ",E53,"},")</f>
        <v xml:space="preserve">  {"Btn 8 Mode", m_btn_mode, &amp;MenuValues[51], NULL, 0, 3},</v>
      </c>
      <c r="M53" s="48" t="str">
        <f t="shared" si="5"/>
        <v xml:space="preserve">  0,  // Btn 8 Mode</v>
      </c>
      <c r="N53" s="15"/>
    </row>
    <row r="54" spans="1:14" x14ac:dyDescent="0.25">
      <c r="A54" s="44">
        <f t="shared" si="1"/>
        <v>52</v>
      </c>
      <c r="B54" s="1" t="s">
        <v>51</v>
      </c>
      <c r="C54" s="43" t="s">
        <v>233</v>
      </c>
      <c r="D54" s="43">
        <v>0</v>
      </c>
      <c r="E54" s="43">
        <v>3</v>
      </c>
      <c r="F54" s="43">
        <v>0</v>
      </c>
      <c r="G54" s="52" t="str">
        <f>CONCATENATE("MenuValues[",A54,"]")</f>
        <v>MenuValues[52]</v>
      </c>
      <c r="H54" s="52" t="s">
        <v>115</v>
      </c>
      <c r="I54" s="68" t="str">
        <f t="shared" si="2"/>
        <v xml:space="preserve">"Btn 9 Mode", </v>
      </c>
      <c r="J54" s="69" t="str">
        <f t="shared" si="3"/>
        <v xml:space="preserve">&amp;MenuValues[52], </v>
      </c>
      <c r="K54" s="69" t="str">
        <f t="shared" si="4"/>
        <v xml:space="preserve">NULL, </v>
      </c>
      <c r="L54" s="63" t="str">
        <f>CONCATENATE("  {",I54,C54,", ",J54,K54,D54,", ",E54,"},")</f>
        <v xml:space="preserve">  {"Btn 9 Mode", m_btn_mode, &amp;MenuValues[52], NULL, 0, 3},</v>
      </c>
      <c r="M54" s="48" t="str">
        <f t="shared" si="5"/>
        <v xml:space="preserve">  0,  // Btn 9 Mode</v>
      </c>
      <c r="N54" s="15"/>
    </row>
    <row r="55" spans="1:14" x14ac:dyDescent="0.25">
      <c r="A55" s="44">
        <f t="shared" si="1"/>
        <v>53</v>
      </c>
      <c r="B55" s="1" t="s">
        <v>52</v>
      </c>
      <c r="C55" s="43" t="s">
        <v>233</v>
      </c>
      <c r="D55" s="43">
        <v>0</v>
      </c>
      <c r="E55" s="43">
        <v>3</v>
      </c>
      <c r="F55" s="43">
        <v>0</v>
      </c>
      <c r="G55" s="52" t="str">
        <f>CONCATENATE("MenuValues[",A55,"]")</f>
        <v>MenuValues[53]</v>
      </c>
      <c r="H55" s="52" t="s">
        <v>115</v>
      </c>
      <c r="I55" s="68" t="str">
        <f t="shared" si="2"/>
        <v xml:space="preserve">"Btn 10 Mode", </v>
      </c>
      <c r="J55" s="69" t="str">
        <f t="shared" si="3"/>
        <v xml:space="preserve">&amp;MenuValues[53], </v>
      </c>
      <c r="K55" s="69" t="str">
        <f t="shared" si="4"/>
        <v xml:space="preserve">NULL, </v>
      </c>
      <c r="L55" s="63" t="str">
        <f>CONCATENATE("  {",I55,C55,", ",J55,K55,D55,", ",E55,"},")</f>
        <v xml:space="preserve">  {"Btn 10 Mode", m_btn_mode, &amp;MenuValues[53], NULL, 0, 3},</v>
      </c>
      <c r="M55" s="48" t="str">
        <f t="shared" si="5"/>
        <v xml:space="preserve">  0,  // Btn 10 Mode</v>
      </c>
      <c r="N55" s="15"/>
    </row>
    <row r="56" spans="1:14" x14ac:dyDescent="0.25">
      <c r="A56" s="44">
        <f t="shared" si="1"/>
        <v>54</v>
      </c>
      <c r="B56" s="1" t="s">
        <v>53</v>
      </c>
      <c r="C56" s="43" t="s">
        <v>233</v>
      </c>
      <c r="D56" s="43">
        <v>0</v>
      </c>
      <c r="E56" s="43">
        <v>3</v>
      </c>
      <c r="F56" s="43">
        <v>0</v>
      </c>
      <c r="G56" s="52" t="str">
        <f>CONCATENATE("MenuValues[",A56,"]")</f>
        <v>MenuValues[54]</v>
      </c>
      <c r="H56" s="52" t="s">
        <v>115</v>
      </c>
      <c r="I56" s="68" t="str">
        <f t="shared" si="2"/>
        <v xml:space="preserve">"Btn 11 Mode", </v>
      </c>
      <c r="J56" s="69" t="str">
        <f t="shared" si="3"/>
        <v xml:space="preserve">&amp;MenuValues[54], </v>
      </c>
      <c r="K56" s="69" t="str">
        <f t="shared" si="4"/>
        <v xml:space="preserve">NULL, </v>
      </c>
      <c r="L56" s="63" t="str">
        <f>CONCATENATE("  {",I56,C56,", ",J56,K56,D56,", ",E56,"},")</f>
        <v xml:space="preserve">  {"Btn 11 Mode", m_btn_mode, &amp;MenuValues[54], NULL, 0, 3},</v>
      </c>
      <c r="M56" s="48" t="str">
        <f t="shared" si="5"/>
        <v xml:space="preserve">  0,  // Btn 11 Mode</v>
      </c>
      <c r="N56" s="15"/>
    </row>
    <row r="57" spans="1:14" x14ac:dyDescent="0.25">
      <c r="A57" s="44">
        <f t="shared" si="1"/>
        <v>55</v>
      </c>
      <c r="B57" s="1" t="s">
        <v>54</v>
      </c>
      <c r="C57" s="43" t="s">
        <v>233</v>
      </c>
      <c r="D57" s="43">
        <v>0</v>
      </c>
      <c r="E57" s="43">
        <v>3</v>
      </c>
      <c r="F57" s="43">
        <v>0</v>
      </c>
      <c r="G57" s="52" t="str">
        <f>CONCATENATE("MenuValues[",A57,"]")</f>
        <v>MenuValues[55]</v>
      </c>
      <c r="H57" s="52" t="s">
        <v>115</v>
      </c>
      <c r="I57" s="68" t="str">
        <f t="shared" si="2"/>
        <v xml:space="preserve">"Btn 12 Mode", </v>
      </c>
      <c r="J57" s="69" t="str">
        <f t="shared" si="3"/>
        <v xml:space="preserve">&amp;MenuValues[55], </v>
      </c>
      <c r="K57" s="69" t="str">
        <f t="shared" si="4"/>
        <v xml:space="preserve">NULL, </v>
      </c>
      <c r="L57" s="63" t="str">
        <f>CONCATENATE("  {",I57,C57,", ",J57,K57,D57,", ",E57,"},")</f>
        <v xml:space="preserve">  {"Btn 12 Mode", m_btn_mode, &amp;MenuValues[55], NULL, 0, 3},</v>
      </c>
      <c r="M57" s="48" t="str">
        <f t="shared" si="5"/>
        <v xml:space="preserve">  0,  // Btn 12 Mode</v>
      </c>
      <c r="N57" s="15"/>
    </row>
    <row r="58" spans="1:14" x14ac:dyDescent="0.25">
      <c r="A58" s="44">
        <f t="shared" si="1"/>
        <v>56</v>
      </c>
      <c r="B58" s="1" t="s">
        <v>55</v>
      </c>
      <c r="C58" s="43" t="s">
        <v>233</v>
      </c>
      <c r="D58" s="43">
        <v>0</v>
      </c>
      <c r="E58" s="43">
        <v>3</v>
      </c>
      <c r="F58" s="43">
        <v>0</v>
      </c>
      <c r="G58" s="52" t="str">
        <f>CONCATENATE("MenuValues[",A58,"]")</f>
        <v>MenuValues[56]</v>
      </c>
      <c r="H58" s="52" t="s">
        <v>115</v>
      </c>
      <c r="I58" s="68" t="str">
        <f t="shared" si="2"/>
        <v xml:space="preserve">"Btn 13 Mode", </v>
      </c>
      <c r="J58" s="69" t="str">
        <f t="shared" si="3"/>
        <v xml:space="preserve">&amp;MenuValues[56], </v>
      </c>
      <c r="K58" s="69" t="str">
        <f t="shared" si="4"/>
        <v xml:space="preserve">NULL, </v>
      </c>
      <c r="L58" s="63" t="str">
        <f>CONCATENATE("  {",I58,C58,", ",J58,K58,D58,", ",E58,"},")</f>
        <v xml:space="preserve">  {"Btn 13 Mode", m_btn_mode, &amp;MenuValues[56], NULL, 0, 3},</v>
      </c>
      <c r="M58" s="48" t="str">
        <f t="shared" si="5"/>
        <v xml:space="preserve">  0,  // Btn 13 Mode</v>
      </c>
      <c r="N58" s="15"/>
    </row>
    <row r="59" spans="1:14" x14ac:dyDescent="0.25">
      <c r="A59" s="44">
        <f t="shared" si="1"/>
        <v>57</v>
      </c>
      <c r="B59" s="1" t="s">
        <v>56</v>
      </c>
      <c r="C59" s="43" t="s">
        <v>233</v>
      </c>
      <c r="D59" s="43">
        <v>0</v>
      </c>
      <c r="E59" s="43">
        <v>3</v>
      </c>
      <c r="F59" s="43">
        <v>0</v>
      </c>
      <c r="G59" s="52" t="str">
        <f>CONCATENATE("MenuValues[",A59,"]")</f>
        <v>MenuValues[57]</v>
      </c>
      <c r="H59" s="52" t="s">
        <v>115</v>
      </c>
      <c r="I59" s="68" t="str">
        <f t="shared" si="2"/>
        <v xml:space="preserve">"Btn 14 Mode", </v>
      </c>
      <c r="J59" s="69" t="str">
        <f t="shared" si="3"/>
        <v xml:space="preserve">&amp;MenuValues[57], </v>
      </c>
      <c r="K59" s="69" t="str">
        <f t="shared" si="4"/>
        <v xml:space="preserve">NULL, </v>
      </c>
      <c r="L59" s="63" t="str">
        <f>CONCATENATE("  {",I59,C59,", ",J59,K59,D59,", ",E59,"},")</f>
        <v xml:space="preserve">  {"Btn 14 Mode", m_btn_mode, &amp;MenuValues[57], NULL, 0, 3},</v>
      </c>
      <c r="M59" s="48" t="str">
        <f t="shared" si="5"/>
        <v xml:space="preserve">  0,  // Btn 14 Mode</v>
      </c>
      <c r="N59" s="15"/>
    </row>
    <row r="60" spans="1:14" x14ac:dyDescent="0.25">
      <c r="A60" s="44">
        <f t="shared" si="1"/>
        <v>58</v>
      </c>
      <c r="B60" s="1" t="s">
        <v>57</v>
      </c>
      <c r="C60" s="43" t="s">
        <v>233</v>
      </c>
      <c r="D60" s="43">
        <v>0</v>
      </c>
      <c r="E60" s="43">
        <v>3</v>
      </c>
      <c r="F60" s="43">
        <v>0</v>
      </c>
      <c r="G60" s="52" t="str">
        <f>CONCATENATE("MenuValues[",A60,"]")</f>
        <v>MenuValues[58]</v>
      </c>
      <c r="H60" s="52" t="s">
        <v>115</v>
      </c>
      <c r="I60" s="68" t="str">
        <f t="shared" si="2"/>
        <v xml:space="preserve">"Btn 15 Mode", </v>
      </c>
      <c r="J60" s="69" t="str">
        <f t="shared" si="3"/>
        <v xml:space="preserve">&amp;MenuValues[58], </v>
      </c>
      <c r="K60" s="69" t="str">
        <f t="shared" si="4"/>
        <v xml:space="preserve">NULL, </v>
      </c>
      <c r="L60" s="63" t="str">
        <f>CONCATENATE("  {",I60,C60,", ",J60,K60,D60,", ",E60,"},")</f>
        <v xml:space="preserve">  {"Btn 15 Mode", m_btn_mode, &amp;MenuValues[58], NULL, 0, 3},</v>
      </c>
      <c r="M60" s="48" t="str">
        <f t="shared" si="5"/>
        <v xml:space="preserve">  0,  // Btn 15 Mode</v>
      </c>
      <c r="N60" s="15"/>
    </row>
    <row r="61" spans="1:14" x14ac:dyDescent="0.25">
      <c r="A61" s="44">
        <f t="shared" si="1"/>
        <v>59</v>
      </c>
      <c r="B61" s="1" t="s">
        <v>58</v>
      </c>
      <c r="C61" s="43" t="s">
        <v>233</v>
      </c>
      <c r="D61" s="43">
        <v>0</v>
      </c>
      <c r="E61" s="43">
        <v>3</v>
      </c>
      <c r="F61" s="43">
        <v>0</v>
      </c>
      <c r="G61" s="52" t="str">
        <f>CONCATENATE("MenuValues[",A61,"]")</f>
        <v>MenuValues[59]</v>
      </c>
      <c r="H61" s="52" t="s">
        <v>115</v>
      </c>
      <c r="I61" s="68" t="str">
        <f t="shared" si="2"/>
        <v xml:space="preserve">"Btn 16 Mode", </v>
      </c>
      <c r="J61" s="69" t="str">
        <f t="shared" si="3"/>
        <v xml:space="preserve">&amp;MenuValues[59], </v>
      </c>
      <c r="K61" s="69" t="str">
        <f t="shared" si="4"/>
        <v xml:space="preserve">NULL, </v>
      </c>
      <c r="L61" s="63" t="str">
        <f>CONCATENATE("  {",I61,C61,", ",J61,K61,D61,", ",E61,"},")</f>
        <v xml:space="preserve">  {"Btn 16 Mode", m_btn_mode, &amp;MenuValues[59], NULL, 0, 3},</v>
      </c>
      <c r="M61" s="48" t="str">
        <f t="shared" si="5"/>
        <v xml:space="preserve">  0,  // Btn 16 Mode</v>
      </c>
      <c r="N61" s="15"/>
    </row>
    <row r="62" spans="1:14" x14ac:dyDescent="0.25">
      <c r="A62" s="44">
        <f t="shared" si="1"/>
        <v>60</v>
      </c>
      <c r="B62" s="19" t="s">
        <v>236</v>
      </c>
      <c r="C62" s="43" t="s">
        <v>233</v>
      </c>
      <c r="D62" s="86">
        <v>-1</v>
      </c>
      <c r="E62" s="86">
        <v>-1</v>
      </c>
      <c r="F62" s="86">
        <v>-1</v>
      </c>
      <c r="G62" s="52" t="s">
        <v>115</v>
      </c>
      <c r="H62" s="52" t="s">
        <v>115</v>
      </c>
      <c r="I62" s="68" t="str">
        <f t="shared" si="2"/>
        <v xml:space="preserve">"Btn Mode", </v>
      </c>
      <c r="J62" s="69" t="str">
        <f t="shared" si="3"/>
        <v xml:space="preserve">NULL, </v>
      </c>
      <c r="K62" s="69" t="str">
        <f t="shared" si="4"/>
        <v xml:space="preserve">NULL, </v>
      </c>
      <c r="L62" s="63" t="str">
        <f>CONCATENATE("  {",I62,C62,", ",J62,K62,D62,", ",E62,"},")</f>
        <v xml:space="preserve">  {"Btn Mode", m_btn_mode, NULL, NULL, -1, -1},</v>
      </c>
      <c r="M62" s="48" t="str">
        <f t="shared" si="5"/>
        <v xml:space="preserve">  -1,  // Btn Mode</v>
      </c>
      <c r="N62" s="15"/>
    </row>
    <row r="63" spans="1:14" x14ac:dyDescent="0.25">
      <c r="A63" s="44">
        <f t="shared" si="1"/>
        <v>61</v>
      </c>
      <c r="B63" s="18" t="s">
        <v>4</v>
      </c>
      <c r="C63" s="43" t="s">
        <v>157</v>
      </c>
      <c r="D63" s="53">
        <v>0</v>
      </c>
      <c r="E63" s="18">
        <v>4</v>
      </c>
      <c r="F63" s="53">
        <v>1</v>
      </c>
      <c r="G63" s="52" t="str">
        <f>CONCATENATE("MenuValues[",A63,"]")</f>
        <v>MenuValues[61]</v>
      </c>
      <c r="H63" s="52" t="s">
        <v>238</v>
      </c>
      <c r="I63" s="68" t="str">
        <f t="shared" si="2"/>
        <v xml:space="preserve">"Kbd Driver", </v>
      </c>
      <c r="J63" s="69" t="str">
        <f t="shared" si="3"/>
        <v xml:space="preserve">&amp;MenuValues[61], </v>
      </c>
      <c r="K63" s="69" t="str">
        <f t="shared" si="4"/>
        <v xml:space="preserve">&amp;setKbdDriver, </v>
      </c>
      <c r="L63" s="63" t="str">
        <f>CONCATENATE("  {",I63,C63,", ",J63,K63,D63,", ",E63,"},")</f>
        <v xml:space="preserve">  {"Kbd Driver", m_kbd_driver, &amp;MenuValues[61], &amp;setKbdDriver, 0, 4},</v>
      </c>
      <c r="M63" s="48" t="str">
        <f t="shared" si="5"/>
        <v xml:space="preserve">  1,  // Kbd Driver</v>
      </c>
      <c r="N63" s="15"/>
    </row>
    <row r="64" spans="1:14" x14ac:dyDescent="0.25">
      <c r="A64" s="44">
        <f t="shared" si="1"/>
        <v>62</v>
      </c>
      <c r="B64" s="1" t="s">
        <v>5</v>
      </c>
      <c r="C64" s="43" t="s">
        <v>157</v>
      </c>
      <c r="D64" s="43">
        <v>1</v>
      </c>
      <c r="E64" s="1">
        <v>30</v>
      </c>
      <c r="F64" s="43">
        <v>10</v>
      </c>
      <c r="G64" s="52" t="str">
        <f>CONCATENATE("MenuValues[",A64,"]")</f>
        <v>MenuValues[62]</v>
      </c>
      <c r="H64" s="52" t="s">
        <v>115</v>
      </c>
      <c r="I64" s="68" t="str">
        <f t="shared" si="2"/>
        <v xml:space="preserve">"Velocity Min", </v>
      </c>
      <c r="J64" s="69" t="str">
        <f t="shared" si="3"/>
        <v xml:space="preserve">&amp;MenuValues[62], </v>
      </c>
      <c r="K64" s="69" t="str">
        <f t="shared" si="4"/>
        <v xml:space="preserve">NULL, </v>
      </c>
      <c r="L64" s="63" t="str">
        <f>CONCATENATE("  {",I64,C64,", ",J64,K64,D64,", ",E64,"},")</f>
        <v xml:space="preserve">  {"Velocity Min", m_kbd_driver, &amp;MenuValues[62], NULL, 1, 30},</v>
      </c>
      <c r="M64" s="48" t="str">
        <f t="shared" si="5"/>
        <v xml:space="preserve">  10,  // Velocity Min</v>
      </c>
      <c r="N64" s="15"/>
    </row>
    <row r="65" spans="1:14" x14ac:dyDescent="0.25">
      <c r="A65" s="44">
        <f t="shared" si="1"/>
        <v>63</v>
      </c>
      <c r="B65" s="1" t="s">
        <v>29</v>
      </c>
      <c r="C65" s="43" t="s">
        <v>157</v>
      </c>
      <c r="D65" s="43">
        <v>0</v>
      </c>
      <c r="E65" s="1">
        <v>20</v>
      </c>
      <c r="F65" s="43">
        <v>10</v>
      </c>
      <c r="G65" s="52" t="str">
        <f>CONCATENATE("MenuValues[",A65,"]")</f>
        <v>MenuValues[63]</v>
      </c>
      <c r="H65" s="52" t="s">
        <v>115</v>
      </c>
      <c r="I65" s="68" t="str">
        <f t="shared" si="2"/>
        <v xml:space="preserve">"Velocity MaxAdj", </v>
      </c>
      <c r="J65" s="69" t="str">
        <f t="shared" si="3"/>
        <v xml:space="preserve">&amp;MenuValues[63], </v>
      </c>
      <c r="K65" s="69" t="str">
        <f t="shared" si="4"/>
        <v xml:space="preserve">NULL, </v>
      </c>
      <c r="L65" s="63" t="str">
        <f>CONCATENATE("  {",I65,C65,", ",J65,K65,D65,", ",E65,"},")</f>
        <v xml:space="preserve">  {"Velocity MaxAdj", m_kbd_driver, &amp;MenuValues[63], NULL, 0, 20},</v>
      </c>
      <c r="M65" s="48" t="str">
        <f t="shared" si="5"/>
        <v xml:space="preserve">  10,  // Velocity MaxAdj</v>
      </c>
      <c r="N65" s="15"/>
    </row>
    <row r="66" spans="1:14" x14ac:dyDescent="0.25">
      <c r="A66" s="44">
        <f t="shared" si="1"/>
        <v>64</v>
      </c>
      <c r="B66" s="1" t="s">
        <v>6</v>
      </c>
      <c r="C66" s="43" t="s">
        <v>157</v>
      </c>
      <c r="D66" s="43">
        <v>5</v>
      </c>
      <c r="E66" s="1">
        <v>30</v>
      </c>
      <c r="F66" s="43">
        <v>20</v>
      </c>
      <c r="G66" s="52" t="str">
        <f>CONCATENATE("MenuValues[",A66,"]")</f>
        <v>MenuValues[64]</v>
      </c>
      <c r="H66" s="52" t="s">
        <v>115</v>
      </c>
      <c r="I66" s="68" t="str">
        <f t="shared" si="2"/>
        <v xml:space="preserve">"Velocity Slope", </v>
      </c>
      <c r="J66" s="69" t="str">
        <f t="shared" si="3"/>
        <v xml:space="preserve">&amp;MenuValues[64], </v>
      </c>
      <c r="K66" s="69" t="str">
        <f t="shared" si="4"/>
        <v xml:space="preserve">NULL, </v>
      </c>
      <c r="L66" s="63" t="str">
        <f>CONCATENATE("  {",I66,C66,", ",J66,K66,D66,", ",E66,"},")</f>
        <v xml:space="preserve">  {"Velocity Slope", m_kbd_driver, &amp;MenuValues[64], NULL, 5, 30},</v>
      </c>
      <c r="M66" s="48" t="str">
        <f t="shared" si="5"/>
        <v xml:space="preserve">  20,  // Velocity Slope</v>
      </c>
      <c r="N66" s="15"/>
    </row>
    <row r="67" spans="1:14" x14ac:dyDescent="0.25">
      <c r="A67" s="44">
        <f t="shared" ref="A67:A70" si="7">A66+1</f>
        <v>65</v>
      </c>
      <c r="B67" s="1" t="s">
        <v>14</v>
      </c>
      <c r="C67" s="43" t="s">
        <v>157</v>
      </c>
      <c r="D67" s="43">
        <v>12</v>
      </c>
      <c r="E67" s="1">
        <v>60</v>
      </c>
      <c r="F67" s="43">
        <v>36</v>
      </c>
      <c r="G67" s="52" t="str">
        <f t="shared" ref="G67:G70" si="8">CONCATENATE("MenuValues[",A67,"]")</f>
        <v>MenuValues[65]</v>
      </c>
      <c r="H67" s="52" t="s">
        <v>115</v>
      </c>
      <c r="I67" s="68" t="str">
        <f t="shared" ref="I67:I70" si="9">CONCATENATE("""",B67,""", ")</f>
        <v xml:space="preserve">"Upper Base", </v>
      </c>
      <c r="J67" s="69" t="str">
        <f t="shared" ref="J67:J70" si="10">IF(G67="NULL",CONCATENATE(G67,", "),CONCATENATE("&amp;",G67,", "))</f>
        <v xml:space="preserve">&amp;MenuValues[65], </v>
      </c>
      <c r="K67" s="69" t="str">
        <f t="shared" ref="K67:K70" si="11">IF(H67="NULL",CONCATENATE(H67,", "),CONCATENATE("&amp;",H67,", "))</f>
        <v xml:space="preserve">NULL, </v>
      </c>
      <c r="L67" s="63" t="str">
        <f t="shared" ref="L67:L70" si="12">CONCATENATE("  {",I67,C67,", ",J67,K67,D67,", ",E67,"},")</f>
        <v xml:space="preserve">  {"Upper Base", m_kbd_driver, &amp;MenuValues[65], NULL, 12, 60},</v>
      </c>
      <c r="M67" s="48" t="str">
        <f t="shared" ref="M67:M70" si="13" xml:space="preserve"> CONCATENATE("  ",F67,",  // ",B67)</f>
        <v xml:space="preserve">  36,  // Upper Base</v>
      </c>
      <c r="N67" s="15"/>
    </row>
    <row r="68" spans="1:14" x14ac:dyDescent="0.25">
      <c r="A68" s="44">
        <f t="shared" si="7"/>
        <v>66</v>
      </c>
      <c r="B68" s="1" t="s">
        <v>15</v>
      </c>
      <c r="C68" s="43" t="s">
        <v>157</v>
      </c>
      <c r="D68" s="43">
        <v>12</v>
      </c>
      <c r="E68" s="1">
        <v>60</v>
      </c>
      <c r="F68" s="43">
        <v>36</v>
      </c>
      <c r="G68" s="52" t="str">
        <f t="shared" si="8"/>
        <v>MenuValues[66]</v>
      </c>
      <c r="H68" s="52" t="s">
        <v>115</v>
      </c>
      <c r="I68" s="68" t="str">
        <f t="shared" si="9"/>
        <v xml:space="preserve">"Lower Base", </v>
      </c>
      <c r="J68" s="69" t="str">
        <f t="shared" si="10"/>
        <v xml:space="preserve">&amp;MenuValues[66], </v>
      </c>
      <c r="K68" s="69" t="str">
        <f t="shared" si="11"/>
        <v xml:space="preserve">NULL, </v>
      </c>
      <c r="L68" s="63" t="str">
        <f t="shared" si="12"/>
        <v xml:space="preserve">  {"Lower Base", m_kbd_driver, &amp;MenuValues[66], NULL, 12, 60},</v>
      </c>
      <c r="M68" s="48" t="str">
        <f t="shared" si="13"/>
        <v xml:space="preserve">  36,  // Lower Base</v>
      </c>
    </row>
    <row r="69" spans="1:14" x14ac:dyDescent="0.25">
      <c r="A69" s="44">
        <f t="shared" si="7"/>
        <v>67</v>
      </c>
      <c r="B69" s="1" t="s">
        <v>16</v>
      </c>
      <c r="C69" s="43" t="s">
        <v>157</v>
      </c>
      <c r="D69" s="43">
        <v>12</v>
      </c>
      <c r="E69" s="1">
        <v>60</v>
      </c>
      <c r="F69" s="43">
        <v>36</v>
      </c>
      <c r="G69" s="52" t="str">
        <f t="shared" si="8"/>
        <v>MenuValues[67]</v>
      </c>
      <c r="H69" s="52" t="s">
        <v>115</v>
      </c>
      <c r="I69" s="68" t="str">
        <f t="shared" si="9"/>
        <v xml:space="preserve">"Pedal Base", </v>
      </c>
      <c r="J69" s="69" t="str">
        <f t="shared" si="10"/>
        <v xml:space="preserve">&amp;MenuValues[67], </v>
      </c>
      <c r="K69" s="69" t="str">
        <f t="shared" si="11"/>
        <v xml:space="preserve">NULL, </v>
      </c>
      <c r="L69" s="63" t="str">
        <f t="shared" si="12"/>
        <v xml:space="preserve">  {"Pedal Base", m_kbd_driver, &amp;MenuValues[67], NULL, 12, 60},</v>
      </c>
      <c r="M69" s="48" t="str">
        <f t="shared" si="13"/>
        <v xml:space="preserve">  36,  // Pedal Base</v>
      </c>
    </row>
    <row r="70" spans="1:14" x14ac:dyDescent="0.25">
      <c r="A70" s="44">
        <f t="shared" si="7"/>
        <v>68</v>
      </c>
      <c r="B70" s="19" t="s">
        <v>4</v>
      </c>
      <c r="C70" s="43" t="s">
        <v>157</v>
      </c>
      <c r="D70" s="86">
        <v>-1</v>
      </c>
      <c r="E70" s="86">
        <v>-1</v>
      </c>
      <c r="F70" s="86">
        <v>-1</v>
      </c>
      <c r="G70" s="52" t="str">
        <f t="shared" si="8"/>
        <v>MenuValues[68]</v>
      </c>
      <c r="H70" s="52" t="s">
        <v>115</v>
      </c>
      <c r="I70" s="68" t="str">
        <f t="shared" si="9"/>
        <v xml:space="preserve">"Kbd Driver", </v>
      </c>
      <c r="J70" s="69" t="str">
        <f t="shared" si="10"/>
        <v xml:space="preserve">&amp;MenuValues[68], </v>
      </c>
      <c r="K70" s="69" t="str">
        <f t="shared" si="11"/>
        <v xml:space="preserve">NULL, </v>
      </c>
      <c r="L70" s="63" t="str">
        <f t="shared" si="12"/>
        <v xml:space="preserve">  {"Kbd Driver", m_kbd_driver, &amp;MenuValues[68], NULL, -1, -1},</v>
      </c>
      <c r="M70" s="48" t="str">
        <f t="shared" si="13"/>
        <v xml:space="preserve">  -1,  // Kbd Driver</v>
      </c>
    </row>
    <row r="71" spans="1:14" x14ac:dyDescent="0.25">
      <c r="A71" s="2"/>
      <c r="I71" s="14"/>
      <c r="J71" s="13" t="s">
        <v>18</v>
      </c>
      <c r="K71" s="1" t="s">
        <v>18</v>
      </c>
      <c r="L71" s="63" t="s">
        <v>18</v>
      </c>
      <c r="M71" s="63" t="s">
        <v>18</v>
      </c>
    </row>
    <row r="72" spans="1:14" x14ac:dyDescent="0.25">
      <c r="A72" s="98" t="s">
        <v>223</v>
      </c>
      <c r="B72" s="43" t="s">
        <v>222</v>
      </c>
      <c r="C72" s="93" t="s">
        <v>221</v>
      </c>
      <c r="D72" s="86">
        <v>-1</v>
      </c>
      <c r="E72" s="86">
        <v>-1</v>
      </c>
      <c r="F72" s="86"/>
      <c r="G72" s="41" t="s">
        <v>220</v>
      </c>
      <c r="J72" s="14"/>
      <c r="L72" s="63"/>
    </row>
    <row r="73" spans="1:14" x14ac:dyDescent="0.25">
      <c r="A73" s="98" t="s">
        <v>223</v>
      </c>
      <c r="B73" s="43" t="s">
        <v>222</v>
      </c>
      <c r="C73" s="93" t="s">
        <v>221</v>
      </c>
      <c r="D73" s="95">
        <v>0</v>
      </c>
      <c r="E73" s="95">
        <v>0</v>
      </c>
      <c r="F73" s="95"/>
      <c r="G73" s="41" t="s">
        <v>219</v>
      </c>
      <c r="L73" s="99" t="str">
        <f>CONCATENATE("#define MENU_POT_CC ",A12)</f>
        <v>#define MENU_POT_CC 10</v>
      </c>
    </row>
    <row r="74" spans="1:14" x14ac:dyDescent="0.25">
      <c r="L74" s="99" t="str">
        <f>CONCATENATE("#define MENU_BTN_CC ",A29)</f>
        <v>#define MENU_BTN_CC 27</v>
      </c>
    </row>
    <row r="75" spans="1:14" x14ac:dyDescent="0.25">
      <c r="L75" s="99" t="str">
        <f>CONCATENATE("#define MENU_BTN_MODE ",A46)</f>
        <v>#define MENU_BTN_MODE 44</v>
      </c>
    </row>
    <row r="76" spans="1:14" x14ac:dyDescent="0.25">
      <c r="L76" s="99" t="str">
        <f>CONCATENATE("#define MENU_KBD_DRIVER ",A63)</f>
        <v>#define MENU_KBD_DRIVER 61</v>
      </c>
    </row>
    <row r="77" spans="1:14" x14ac:dyDescent="0.25">
      <c r="L77" s="99" t="str">
        <f>CONCATENATE("#define MENU_MIN_DYN ",A64)</f>
        <v>#define MENU_MIN_DYN 62</v>
      </c>
    </row>
    <row r="78" spans="1:14" x14ac:dyDescent="0.25">
      <c r="L78" s="99" t="s">
        <v>237</v>
      </c>
    </row>
    <row r="79" spans="1:14" x14ac:dyDescent="0.25">
      <c r="L79" s="99" t="str">
        <f>CONCATENATE("#define MENU_DYNSLOOPE ",A66)</f>
        <v>#define MENU_DYNSLOOPE 64</v>
      </c>
    </row>
    <row r="80" spans="1:14" x14ac:dyDescent="0.25">
      <c r="L80" s="99" t="str">
        <f>CONCATENATE("#define MENU_BASE_UPR ",A67)</f>
        <v>#define MENU_BASE_UPR 65</v>
      </c>
    </row>
    <row r="81" spans="12:12" x14ac:dyDescent="0.25">
      <c r="L81" s="99" t="str">
        <f>CONCATENATE("#define MENU_BASE_LWR ",A68)</f>
        <v>#define MENU_BASE_LWR 66</v>
      </c>
    </row>
    <row r="82" spans="12:12" x14ac:dyDescent="0.25">
      <c r="L82" s="99" t="str">
        <f>CONCATENATE("#define MENU_BASE_PED ",A69)</f>
        <v>#define MENU_BASE_PED 67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HX3 Framework</vt:lpstr>
      <vt:lpstr>HX§ Framework alt</vt:lpstr>
      <vt:lpstr>ScanController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2026-02-20T06:51:45Z</dcterms:modified>
</cp:coreProperties>
</file>