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HOAX_35\HX3.5-Firmware\docs\"/>
    </mc:Choice>
  </mc:AlternateContent>
  <bookViews>
    <workbookView xWindow="360" yWindow="60" windowWidth="30915" windowHeight="16425"/>
  </bookViews>
  <sheets>
    <sheet name="HX3-Framework" sheetId="2" r:id="rId1"/>
    <sheet name="ScanController" sheetId="1" r:id="rId2"/>
  </sheets>
  <calcPr calcId="162913"/>
</workbook>
</file>

<file path=xl/calcChain.xml><?xml version="1.0" encoding="utf-8"?>
<calcChain xmlns="http://schemas.openxmlformats.org/spreadsheetml/2006/main">
  <c r="H43" i="2" l="1"/>
  <c r="H44" i="2"/>
  <c r="H45" i="2"/>
  <c r="H46" i="2"/>
  <c r="H47" i="2"/>
  <c r="H48" i="2"/>
  <c r="H42" i="2"/>
  <c r="H35" i="2"/>
  <c r="N35" i="2" s="1"/>
  <c r="H36" i="2"/>
  <c r="N36" i="2" s="1"/>
  <c r="H37" i="2"/>
  <c r="N37" i="2" s="1"/>
  <c r="H38" i="2"/>
  <c r="N38" i="2" s="1"/>
  <c r="H39" i="2"/>
  <c r="H40" i="2"/>
  <c r="H34" i="2"/>
  <c r="N34" i="2" s="1"/>
  <c r="C7" i="2"/>
  <c r="C8" i="2"/>
  <c r="A29" i="2"/>
  <c r="A30" i="2" s="1"/>
  <c r="A31" i="2" s="1"/>
  <c r="A32" i="2" s="1"/>
  <c r="A33" i="2" s="1"/>
  <c r="A34" i="2" s="1"/>
  <c r="A35" i="2" s="1"/>
  <c r="A36" i="2" s="1"/>
  <c r="G36" i="2"/>
  <c r="G37" i="2"/>
  <c r="G38" i="2"/>
  <c r="G39" i="2"/>
  <c r="N39" i="2"/>
  <c r="G40" i="2"/>
  <c r="N40" i="2"/>
  <c r="N41" i="2"/>
  <c r="G34" i="2"/>
  <c r="G35" i="2"/>
  <c r="G7" i="2"/>
  <c r="N7" i="2"/>
  <c r="K36" i="2" l="1"/>
  <c r="J36" i="2"/>
  <c r="L36" i="2"/>
  <c r="M36" i="2"/>
  <c r="A37" i="2"/>
  <c r="O36" i="2"/>
  <c r="I36" i="2"/>
  <c r="C2" i="2"/>
  <c r="C3" i="2"/>
  <c r="C4" i="2"/>
  <c r="J37" i="2" l="1"/>
  <c r="L37" i="2"/>
  <c r="K37" i="2"/>
  <c r="M37" i="2"/>
  <c r="O37" i="2"/>
  <c r="A38" i="2"/>
  <c r="I37" i="2"/>
  <c r="N3" i="2"/>
  <c r="N4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5" i="2"/>
  <c r="N6" i="2"/>
  <c r="N42" i="2"/>
  <c r="N43" i="2"/>
  <c r="N44" i="2"/>
  <c r="N45" i="2"/>
  <c r="N46" i="2"/>
  <c r="N47" i="2"/>
  <c r="N48" i="2"/>
  <c r="N49" i="2"/>
  <c r="N2" i="2"/>
  <c r="G44" i="2"/>
  <c r="G45" i="2"/>
  <c r="G46" i="2"/>
  <c r="G47" i="2"/>
  <c r="G48" i="2"/>
  <c r="G43" i="2"/>
  <c r="G42" i="2"/>
  <c r="G6" i="2"/>
  <c r="G5" i="2"/>
  <c r="G32" i="2"/>
  <c r="G31" i="2"/>
  <c r="G29" i="2"/>
  <c r="G28" i="2"/>
  <c r="G27" i="2"/>
  <c r="G26" i="2"/>
  <c r="G25" i="2"/>
  <c r="G24" i="2"/>
  <c r="G23" i="2"/>
  <c r="G22" i="2"/>
  <c r="G21" i="2"/>
  <c r="G12" i="2"/>
  <c r="G13" i="2"/>
  <c r="G14" i="2"/>
  <c r="G15" i="2"/>
  <c r="G16" i="2"/>
  <c r="G17" i="2"/>
  <c r="G18" i="2"/>
  <c r="G19" i="2"/>
  <c r="G11" i="2"/>
  <c r="G3" i="2"/>
  <c r="G4" i="2"/>
  <c r="G9" i="2"/>
  <c r="G8" i="2"/>
  <c r="G2" i="2"/>
  <c r="A3" i="2"/>
  <c r="O38" i="2" l="1"/>
  <c r="M38" i="2"/>
  <c r="I38" i="2"/>
  <c r="K38" i="2"/>
  <c r="A39" i="2"/>
  <c r="J38" i="2"/>
  <c r="L38" i="2"/>
  <c r="A4" i="2"/>
  <c r="A5" i="2" s="1"/>
  <c r="A6" i="2" s="1"/>
  <c r="A7" i="2" s="1"/>
  <c r="J39" i="2" l="1"/>
  <c r="K39" i="2"/>
  <c r="L39" i="2"/>
  <c r="A40" i="2"/>
  <c r="M39" i="2"/>
  <c r="O39" i="2"/>
  <c r="I39" i="2"/>
  <c r="A8" i="2"/>
  <c r="A9" i="2" s="1"/>
  <c r="A10" i="2" s="1"/>
  <c r="A11" i="2" s="1"/>
  <c r="A12" i="2" s="1"/>
  <c r="A13" i="2" s="1"/>
  <c r="L7" i="2"/>
  <c r="M7" i="2"/>
  <c r="O7" i="2"/>
  <c r="K7" i="2"/>
  <c r="I7" i="2"/>
  <c r="J7" i="2"/>
  <c r="A41" i="2" l="1"/>
  <c r="A42" i="2" s="1"/>
  <c r="A43" i="2" s="1"/>
  <c r="L40" i="2"/>
  <c r="O40" i="2"/>
  <c r="K40" i="2"/>
  <c r="M40" i="2"/>
  <c r="J40" i="2"/>
  <c r="I40" i="2"/>
  <c r="L9" i="2"/>
  <c r="O9" i="2"/>
  <c r="K9" i="2"/>
  <c r="J9" i="2"/>
  <c r="M9" i="2"/>
  <c r="I9" i="2"/>
  <c r="M11" i="2"/>
  <c r="I11" i="2"/>
  <c r="J11" i="2"/>
  <c r="K11" i="2"/>
  <c r="O11" i="2"/>
  <c r="L11" i="2"/>
  <c r="M10" i="2"/>
  <c r="O10" i="2"/>
  <c r="L10" i="2"/>
  <c r="K10" i="2"/>
  <c r="I10" i="2"/>
  <c r="J10" i="2"/>
  <c r="L2" i="2" l="1"/>
  <c r="M2" i="2"/>
  <c r="J2" i="2"/>
  <c r="K2" i="2"/>
  <c r="O2" i="2"/>
  <c r="I2" i="2"/>
  <c r="J12" i="2"/>
  <c r="L12" i="2"/>
  <c r="K12" i="2"/>
  <c r="O12" i="2"/>
  <c r="M12" i="2"/>
  <c r="I12" i="2"/>
  <c r="A14" i="2" l="1"/>
  <c r="K13" i="2"/>
  <c r="L13" i="2"/>
  <c r="O13" i="2"/>
  <c r="M13" i="2"/>
  <c r="J13" i="2"/>
  <c r="I13" i="2"/>
  <c r="A15" i="2" l="1"/>
  <c r="L14" i="2"/>
  <c r="J14" i="2"/>
  <c r="K14" i="2"/>
  <c r="O14" i="2"/>
  <c r="M14" i="2"/>
  <c r="I14" i="2"/>
  <c r="A16" i="2" l="1"/>
  <c r="O15" i="2"/>
  <c r="M15" i="2"/>
  <c r="K15" i="2"/>
  <c r="L15" i="2"/>
  <c r="J15" i="2"/>
  <c r="I15" i="2"/>
  <c r="A17" i="2" l="1"/>
  <c r="J16" i="2"/>
  <c r="K16" i="2"/>
  <c r="L16" i="2"/>
  <c r="O16" i="2"/>
  <c r="M16" i="2"/>
  <c r="I16" i="2"/>
  <c r="A18" i="2" l="1"/>
  <c r="J17" i="2"/>
  <c r="O17" i="2"/>
  <c r="M17" i="2"/>
  <c r="K17" i="2"/>
  <c r="L17" i="2"/>
  <c r="I17" i="2"/>
  <c r="A19" i="2" l="1"/>
  <c r="L18" i="2"/>
  <c r="J18" i="2"/>
  <c r="K18" i="2"/>
  <c r="O18" i="2"/>
  <c r="M18" i="2"/>
  <c r="I18" i="2"/>
  <c r="A20" i="2" l="1"/>
  <c r="L19" i="2"/>
  <c r="O19" i="2"/>
  <c r="M19" i="2"/>
  <c r="J19" i="2"/>
  <c r="K19" i="2"/>
  <c r="I19" i="2"/>
  <c r="G20" i="2" l="1"/>
  <c r="I20" i="2" s="1"/>
  <c r="K20" i="2"/>
  <c r="L20" i="2"/>
  <c r="A21" i="2"/>
  <c r="O20" i="2"/>
  <c r="J20" i="2"/>
  <c r="M20" i="2"/>
  <c r="A22" i="2" l="1"/>
  <c r="M21" i="2"/>
  <c r="J21" i="2"/>
  <c r="L21" i="2"/>
  <c r="O21" i="2"/>
  <c r="K21" i="2"/>
  <c r="I21" i="2"/>
  <c r="L3" i="2" l="1"/>
  <c r="M3" i="2"/>
  <c r="J3" i="2"/>
  <c r="O3" i="2"/>
  <c r="I3" i="2"/>
  <c r="K3" i="2"/>
  <c r="A23" i="2"/>
  <c r="M22" i="2"/>
  <c r="K22" i="2"/>
  <c r="O22" i="2"/>
  <c r="L22" i="2"/>
  <c r="J22" i="2"/>
  <c r="I22" i="2"/>
  <c r="A24" i="2" l="1"/>
  <c r="M23" i="2"/>
  <c r="L23" i="2"/>
  <c r="J23" i="2"/>
  <c r="O23" i="2"/>
  <c r="K23" i="2"/>
  <c r="I23" i="2"/>
  <c r="A25" i="2" l="1"/>
  <c r="M24" i="2"/>
  <c r="O24" i="2"/>
  <c r="L24" i="2"/>
  <c r="K24" i="2"/>
  <c r="J24" i="2"/>
  <c r="I24" i="2"/>
  <c r="A26" i="2" l="1"/>
  <c r="M25" i="2"/>
  <c r="J25" i="2"/>
  <c r="O25" i="2"/>
  <c r="L25" i="2"/>
  <c r="K25" i="2"/>
  <c r="I25" i="2"/>
  <c r="A27" i="2" l="1"/>
  <c r="M26" i="2"/>
  <c r="O26" i="2"/>
  <c r="L26" i="2"/>
  <c r="K26" i="2"/>
  <c r="J26" i="2"/>
  <c r="I26" i="2"/>
  <c r="A28" i="2" l="1"/>
  <c r="M27" i="2"/>
  <c r="J27" i="2"/>
  <c r="L27" i="2"/>
  <c r="O27" i="2"/>
  <c r="K27" i="2"/>
  <c r="I27" i="2"/>
  <c r="M28" i="2" l="1"/>
  <c r="O28" i="2"/>
  <c r="L28" i="2"/>
  <c r="K28" i="2"/>
  <c r="J28" i="2"/>
  <c r="I28" i="2"/>
  <c r="M29" i="2" l="1"/>
  <c r="L29" i="2"/>
  <c r="J29" i="2"/>
  <c r="O29" i="2"/>
  <c r="K29" i="2"/>
  <c r="I29" i="2"/>
  <c r="G30" i="2" l="1"/>
  <c r="I30" i="2" s="1"/>
  <c r="L30" i="2"/>
  <c r="J30" i="2"/>
  <c r="O30" i="2"/>
  <c r="M30" i="2"/>
  <c r="K30" i="2"/>
  <c r="M31" i="2" l="1"/>
  <c r="K31" i="2"/>
  <c r="O31" i="2"/>
  <c r="L31" i="2"/>
  <c r="J31" i="2"/>
  <c r="I31" i="2"/>
  <c r="O34" i="2" l="1"/>
  <c r="M34" i="2"/>
  <c r="K34" i="2"/>
  <c r="J34" i="2"/>
  <c r="L34" i="2"/>
  <c r="I34" i="2"/>
  <c r="I4" i="2"/>
  <c r="J4" i="2"/>
  <c r="M4" i="2"/>
  <c r="L4" i="2"/>
  <c r="O4" i="2"/>
  <c r="K4" i="2"/>
  <c r="M32" i="2"/>
  <c r="J32" i="2"/>
  <c r="K32" i="2"/>
  <c r="L32" i="2"/>
  <c r="O32" i="2"/>
  <c r="I32" i="2"/>
  <c r="L35" i="2" l="1"/>
  <c r="J35" i="2"/>
  <c r="K35" i="2"/>
  <c r="M35" i="2"/>
  <c r="O35" i="2"/>
  <c r="I35" i="2"/>
  <c r="G33" i="2"/>
  <c r="I33" i="2" s="1"/>
  <c r="O33" i="2"/>
  <c r="M33" i="2"/>
  <c r="K33" i="2"/>
  <c r="L33" i="2"/>
  <c r="J33" i="2"/>
  <c r="A44" i="2" l="1"/>
  <c r="A45" i="2" s="1"/>
  <c r="A46" i="2" s="1"/>
  <c r="A47" i="2" s="1"/>
  <c r="O41" i="2"/>
  <c r="J41" i="2"/>
  <c r="K41" i="2"/>
  <c r="G41" i="2"/>
  <c r="I41" i="2" s="1"/>
  <c r="L41" i="2"/>
  <c r="M41" i="2"/>
  <c r="M5" i="2"/>
  <c r="O5" i="2"/>
  <c r="L5" i="2"/>
  <c r="K5" i="2"/>
  <c r="J5" i="2"/>
  <c r="I5" i="2"/>
  <c r="M6" i="2" l="1"/>
  <c r="J6" i="2"/>
  <c r="O6" i="2"/>
  <c r="L6" i="2"/>
  <c r="K6" i="2"/>
  <c r="I6" i="2"/>
  <c r="I8" i="2" l="1"/>
  <c r="M8" i="2"/>
  <c r="O8" i="2"/>
  <c r="L8" i="2"/>
  <c r="K8" i="2"/>
  <c r="J8" i="2"/>
  <c r="M42" i="2" l="1"/>
  <c r="L42" i="2"/>
  <c r="K42" i="2"/>
  <c r="J42" i="2"/>
  <c r="I42" i="2"/>
  <c r="O42" i="2"/>
  <c r="J43" i="2" l="1"/>
  <c r="I43" i="2"/>
  <c r="M43" i="2"/>
  <c r="O43" i="2"/>
  <c r="L43" i="2"/>
  <c r="K43" i="2"/>
  <c r="M44" i="2" l="1"/>
  <c r="O44" i="2"/>
  <c r="L44" i="2"/>
  <c r="K44" i="2"/>
  <c r="J44" i="2"/>
  <c r="I44" i="2"/>
  <c r="K45" i="2" l="1"/>
  <c r="J45" i="2"/>
  <c r="I45" i="2"/>
  <c r="M45" i="2"/>
  <c r="O45" i="2"/>
  <c r="L45" i="2"/>
  <c r="O46" i="2" l="1"/>
  <c r="L46" i="2"/>
  <c r="K46" i="2"/>
  <c r="I46" i="2"/>
  <c r="M46" i="2"/>
  <c r="J46" i="2"/>
  <c r="L47" i="2" l="1"/>
  <c r="K47" i="2"/>
  <c r="J47" i="2"/>
  <c r="I47" i="2"/>
  <c r="A48" i="2"/>
  <c r="M47" i="2"/>
  <c r="O47" i="2"/>
  <c r="K48" i="2" l="1"/>
  <c r="I48" i="2"/>
  <c r="J48" i="2"/>
  <c r="A49" i="2"/>
  <c r="G49" i="2" s="1"/>
  <c r="M48" i="2"/>
  <c r="O48" i="2"/>
  <c r="L48" i="2"/>
  <c r="M49" i="2" l="1"/>
  <c r="O49" i="2"/>
  <c r="K49" i="2"/>
  <c r="J49" i="2"/>
  <c r="I49" i="2"/>
  <c r="L49" i="2"/>
  <c r="H5" i="1" l="1"/>
  <c r="I5" i="1"/>
  <c r="J5" i="1"/>
  <c r="K5" i="1"/>
  <c r="L5" i="1"/>
  <c r="M5" i="1"/>
  <c r="H6" i="1"/>
  <c r="I6" i="1"/>
  <c r="J6" i="1"/>
  <c r="K6" i="1"/>
  <c r="L6" i="1"/>
  <c r="M6" i="1"/>
  <c r="A5" i="1"/>
  <c r="A6" i="1" s="1"/>
  <c r="A7" i="1" s="1"/>
  <c r="A8" i="1" s="1"/>
  <c r="E14" i="1"/>
  <c r="E15" i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13" i="1"/>
  <c r="E31" i="1"/>
  <c r="E32" i="1"/>
  <c r="E33" i="1"/>
  <c r="E34" i="1"/>
  <c r="E35" i="1"/>
  <c r="E36" i="1"/>
  <c r="E37" i="1" s="1"/>
  <c r="E38" i="1" s="1"/>
  <c r="E39" i="1" s="1"/>
  <c r="E40" i="1" s="1"/>
  <c r="E41" i="1" s="1"/>
  <c r="E42" i="1" s="1"/>
  <c r="E43" i="1" s="1"/>
  <c r="E44" i="1" s="1"/>
  <c r="E30" i="1"/>
  <c r="E47" i="1" l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A3" i="1" l="1"/>
  <c r="A4" i="1" s="1"/>
  <c r="A9" i="1" s="1"/>
  <c r="A10" i="1" l="1"/>
  <c r="H3" i="1"/>
  <c r="C2" i="1"/>
  <c r="J10" i="1" l="1"/>
  <c r="K10" i="1"/>
  <c r="L10" i="1"/>
  <c r="M10" i="1"/>
  <c r="H10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I10" i="1"/>
  <c r="H16" i="1"/>
  <c r="K16" i="1"/>
  <c r="L16" i="1"/>
  <c r="M16" i="1"/>
  <c r="M2" i="1"/>
  <c r="L2" i="1"/>
  <c r="K2" i="1"/>
  <c r="J2" i="1"/>
  <c r="I2" i="1"/>
  <c r="H2" i="1"/>
  <c r="J16" i="1" l="1"/>
  <c r="A34" i="1"/>
  <c r="I33" i="1"/>
  <c r="H33" i="1"/>
  <c r="J33" i="1"/>
  <c r="K33" i="1"/>
  <c r="L33" i="1"/>
  <c r="M33" i="1"/>
  <c r="I16" i="1"/>
  <c r="J17" i="1"/>
  <c r="H17" i="1"/>
  <c r="I17" i="1"/>
  <c r="M17" i="1"/>
  <c r="L17" i="1"/>
  <c r="K17" i="1"/>
  <c r="M3" i="1"/>
  <c r="L3" i="1"/>
  <c r="K3" i="1"/>
  <c r="J3" i="1"/>
  <c r="I3" i="1"/>
  <c r="H7" i="1"/>
  <c r="I7" i="1"/>
  <c r="J7" i="1"/>
  <c r="K7" i="1"/>
  <c r="L7" i="1"/>
  <c r="M7" i="1"/>
  <c r="A35" i="1" l="1"/>
  <c r="M34" i="1"/>
  <c r="I34" i="1"/>
  <c r="K34" i="1"/>
  <c r="L34" i="1"/>
  <c r="J34" i="1"/>
  <c r="H34" i="1"/>
  <c r="M18" i="1"/>
  <c r="H18" i="1"/>
  <c r="J18" i="1"/>
  <c r="K18" i="1"/>
  <c r="L18" i="1"/>
  <c r="I18" i="1"/>
  <c r="M4" i="1"/>
  <c r="H4" i="1"/>
  <c r="I4" i="1"/>
  <c r="J4" i="1"/>
  <c r="K4" i="1"/>
  <c r="L4" i="1"/>
  <c r="A36" i="1" l="1"/>
  <c r="M35" i="1"/>
  <c r="L35" i="1"/>
  <c r="K35" i="1"/>
  <c r="J35" i="1"/>
  <c r="H35" i="1"/>
  <c r="I35" i="1"/>
  <c r="K19" i="1"/>
  <c r="L19" i="1"/>
  <c r="M19" i="1"/>
  <c r="H19" i="1"/>
  <c r="I19" i="1"/>
  <c r="J19" i="1"/>
  <c r="A37" i="1" l="1"/>
  <c r="J36" i="1"/>
  <c r="L36" i="1"/>
  <c r="K36" i="1"/>
  <c r="I36" i="1"/>
  <c r="H36" i="1"/>
  <c r="M36" i="1"/>
  <c r="I20" i="1"/>
  <c r="K20" i="1"/>
  <c r="L20" i="1"/>
  <c r="J20" i="1"/>
  <c r="M20" i="1"/>
  <c r="H20" i="1"/>
  <c r="A38" i="1" l="1"/>
  <c r="M37" i="1"/>
  <c r="L37" i="1"/>
  <c r="H37" i="1"/>
  <c r="I37" i="1"/>
  <c r="K37" i="1"/>
  <c r="J37" i="1"/>
  <c r="I21" i="1"/>
  <c r="K21" i="1"/>
  <c r="L21" i="1"/>
  <c r="H21" i="1"/>
  <c r="J21" i="1"/>
  <c r="M21" i="1"/>
  <c r="A39" i="1" l="1"/>
  <c r="K38" i="1"/>
  <c r="L38" i="1"/>
  <c r="I38" i="1"/>
  <c r="H38" i="1"/>
  <c r="J38" i="1"/>
  <c r="M38" i="1"/>
  <c r="H22" i="1"/>
  <c r="I22" i="1"/>
  <c r="J22" i="1"/>
  <c r="K22" i="1"/>
  <c r="L22" i="1"/>
  <c r="M22" i="1"/>
  <c r="H11" i="1"/>
  <c r="I11" i="1"/>
  <c r="J11" i="1"/>
  <c r="K11" i="1"/>
  <c r="L11" i="1"/>
  <c r="M11" i="1"/>
  <c r="A40" i="1" l="1"/>
  <c r="M39" i="1"/>
  <c r="K39" i="1"/>
  <c r="J39" i="1"/>
  <c r="H39" i="1"/>
  <c r="I39" i="1"/>
  <c r="L39" i="1"/>
  <c r="H23" i="1"/>
  <c r="I23" i="1"/>
  <c r="J23" i="1"/>
  <c r="L23" i="1"/>
  <c r="M23" i="1"/>
  <c r="K23" i="1"/>
  <c r="M13" i="1"/>
  <c r="M12" i="1"/>
  <c r="A41" i="1" l="1"/>
  <c r="L40" i="1"/>
  <c r="I40" i="1"/>
  <c r="M40" i="1"/>
  <c r="H40" i="1"/>
  <c r="J40" i="1"/>
  <c r="K40" i="1"/>
  <c r="K24" i="1"/>
  <c r="M24" i="1"/>
  <c r="H24" i="1"/>
  <c r="I24" i="1"/>
  <c r="J24" i="1"/>
  <c r="L24" i="1"/>
  <c r="K12" i="1"/>
  <c r="M8" i="1"/>
  <c r="L8" i="1"/>
  <c r="H8" i="1"/>
  <c r="I8" i="1"/>
  <c r="J8" i="1"/>
  <c r="K8" i="1"/>
  <c r="H13" i="1"/>
  <c r="I13" i="1"/>
  <c r="J13" i="1"/>
  <c r="K13" i="1"/>
  <c r="L13" i="1"/>
  <c r="I12" i="1"/>
  <c r="H12" i="1"/>
  <c r="L12" i="1"/>
  <c r="J12" i="1"/>
  <c r="A42" i="1" l="1"/>
  <c r="L41" i="1"/>
  <c r="M41" i="1"/>
  <c r="K41" i="1"/>
  <c r="H41" i="1"/>
  <c r="J41" i="1"/>
  <c r="I41" i="1"/>
  <c r="H25" i="1"/>
  <c r="I25" i="1"/>
  <c r="J25" i="1"/>
  <c r="K25" i="1"/>
  <c r="L25" i="1"/>
  <c r="M25" i="1"/>
  <c r="H14" i="1"/>
  <c r="I14" i="1"/>
  <c r="J14" i="1"/>
  <c r="K14" i="1"/>
  <c r="L14" i="1"/>
  <c r="M14" i="1"/>
  <c r="A43" i="1" l="1"/>
  <c r="M42" i="1"/>
  <c r="L42" i="1"/>
  <c r="K42" i="1"/>
  <c r="H42" i="1"/>
  <c r="I42" i="1"/>
  <c r="J42" i="1"/>
  <c r="H26" i="1"/>
  <c r="L26" i="1"/>
  <c r="M26" i="1"/>
  <c r="I26" i="1"/>
  <c r="J26" i="1"/>
  <c r="K26" i="1"/>
  <c r="H15" i="1"/>
  <c r="I15" i="1"/>
  <c r="J15" i="1"/>
  <c r="K15" i="1"/>
  <c r="L15" i="1"/>
  <c r="M15" i="1"/>
  <c r="A44" i="1" l="1"/>
  <c r="L43" i="1"/>
  <c r="M43" i="1"/>
  <c r="K43" i="1"/>
  <c r="H43" i="1"/>
  <c r="J43" i="1"/>
  <c r="I43" i="1"/>
  <c r="L27" i="1"/>
  <c r="K27" i="1"/>
  <c r="J27" i="1"/>
  <c r="H27" i="1"/>
  <c r="I27" i="1"/>
  <c r="M27" i="1"/>
  <c r="J28" i="1"/>
  <c r="K28" i="1"/>
  <c r="L28" i="1"/>
  <c r="H28" i="1"/>
  <c r="I28" i="1"/>
  <c r="M28" i="1"/>
  <c r="A45" i="1" l="1"/>
  <c r="A46" i="1" s="1"/>
  <c r="M44" i="1"/>
  <c r="I44" i="1"/>
  <c r="H44" i="1"/>
  <c r="K44" i="1"/>
  <c r="L44" i="1"/>
  <c r="J44" i="1"/>
  <c r="H29" i="1"/>
  <c r="I29" i="1"/>
  <c r="J29" i="1"/>
  <c r="K29" i="1"/>
  <c r="L29" i="1"/>
  <c r="M29" i="1"/>
  <c r="J46" i="1" l="1"/>
  <c r="A47" i="1"/>
  <c r="L47" i="1" s="1"/>
  <c r="K46" i="1"/>
  <c r="H46" i="1"/>
  <c r="L46" i="1"/>
  <c r="I46" i="1"/>
  <c r="M46" i="1"/>
  <c r="M9" i="1"/>
  <c r="H9" i="1"/>
  <c r="I9" i="1"/>
  <c r="J9" i="1"/>
  <c r="K9" i="1"/>
  <c r="L9" i="1"/>
  <c r="H30" i="1"/>
  <c r="I30" i="1"/>
  <c r="J30" i="1"/>
  <c r="K30" i="1"/>
  <c r="L30" i="1"/>
  <c r="M30" i="1"/>
  <c r="H47" i="1" l="1"/>
  <c r="K47" i="1"/>
  <c r="I47" i="1"/>
  <c r="A48" i="1"/>
  <c r="L48" i="1" s="1"/>
  <c r="J47" i="1"/>
  <c r="M47" i="1"/>
  <c r="L31" i="1"/>
  <c r="J31" i="1"/>
  <c r="K31" i="1"/>
  <c r="H31" i="1"/>
  <c r="I31" i="1"/>
  <c r="M31" i="1"/>
  <c r="J48" i="1" l="1"/>
  <c r="K48" i="1"/>
  <c r="A49" i="1"/>
  <c r="L49" i="1" s="1"/>
  <c r="M48" i="1"/>
  <c r="H48" i="1"/>
  <c r="I48" i="1"/>
  <c r="H32" i="1"/>
  <c r="I32" i="1"/>
  <c r="J32" i="1"/>
  <c r="K32" i="1"/>
  <c r="L32" i="1"/>
  <c r="M32" i="1"/>
  <c r="K49" i="1" l="1"/>
  <c r="M49" i="1"/>
  <c r="A50" i="1"/>
  <c r="L50" i="1" s="1"/>
  <c r="I49" i="1"/>
  <c r="J49" i="1"/>
  <c r="H49" i="1"/>
  <c r="H45" i="1"/>
  <c r="I45" i="1"/>
  <c r="J45" i="1"/>
  <c r="K45" i="1"/>
  <c r="L45" i="1"/>
  <c r="M45" i="1"/>
  <c r="M50" i="1" l="1"/>
  <c r="K50" i="1"/>
  <c r="A51" i="1"/>
  <c r="L51" i="1" s="1"/>
  <c r="H50" i="1"/>
  <c r="J50" i="1"/>
  <c r="I50" i="1"/>
  <c r="M51" i="1" l="1"/>
  <c r="A52" i="1"/>
  <c r="L52" i="1" s="1"/>
  <c r="J51" i="1"/>
  <c r="I51" i="1"/>
  <c r="K51" i="1"/>
  <c r="H51" i="1"/>
  <c r="I52" i="1" l="1"/>
  <c r="M52" i="1"/>
  <c r="A53" i="1"/>
  <c r="L53" i="1" s="1"/>
  <c r="K52" i="1"/>
  <c r="H52" i="1"/>
  <c r="J52" i="1"/>
  <c r="H53" i="1" l="1"/>
  <c r="I53" i="1"/>
  <c r="K53" i="1"/>
  <c r="M53" i="1"/>
  <c r="A54" i="1"/>
  <c r="L54" i="1" s="1"/>
  <c r="J53" i="1"/>
  <c r="K54" i="1" l="1"/>
  <c r="A55" i="1"/>
  <c r="L55" i="1" s="1"/>
  <c r="J54" i="1"/>
  <c r="H54" i="1"/>
  <c r="I54" i="1"/>
  <c r="M54" i="1"/>
  <c r="H55" i="1" l="1"/>
  <c r="M55" i="1"/>
  <c r="J55" i="1"/>
  <c r="I55" i="1"/>
  <c r="K55" i="1"/>
  <c r="A56" i="1"/>
  <c r="L56" i="1" s="1"/>
  <c r="I56" i="1" l="1"/>
  <c r="M56" i="1"/>
  <c r="K56" i="1"/>
  <c r="H56" i="1"/>
  <c r="J56" i="1"/>
  <c r="A57" i="1"/>
  <c r="L57" i="1" s="1"/>
  <c r="H57" i="1" l="1"/>
  <c r="M57" i="1"/>
  <c r="I57" i="1"/>
  <c r="K57" i="1"/>
  <c r="J57" i="1"/>
  <c r="A58" i="1"/>
  <c r="L58" i="1" s="1"/>
  <c r="J58" i="1" l="1"/>
  <c r="K58" i="1"/>
  <c r="A59" i="1"/>
  <c r="L59" i="1" s="1"/>
  <c r="H58" i="1"/>
  <c r="I58" i="1"/>
  <c r="M58" i="1"/>
  <c r="M59" i="1" l="1"/>
  <c r="J59" i="1"/>
  <c r="H59" i="1"/>
  <c r="K59" i="1"/>
  <c r="A60" i="1"/>
  <c r="L60" i="1" s="1"/>
  <c r="I59" i="1"/>
  <c r="I60" i="1" l="1"/>
  <c r="M60" i="1"/>
  <c r="H60" i="1"/>
  <c r="A61" i="1"/>
  <c r="L61" i="1" s="1"/>
  <c r="K60" i="1"/>
  <c r="J60" i="1"/>
  <c r="I61" i="1" l="1"/>
  <c r="J61" i="1"/>
  <c r="M61" i="1"/>
  <c r="K61" i="1"/>
  <c r="A62" i="1"/>
  <c r="H61" i="1"/>
  <c r="K62" i="1" l="1"/>
  <c r="L62" i="1"/>
  <c r="I62" i="1"/>
  <c r="A63" i="1"/>
  <c r="H62" i="1"/>
  <c r="J62" i="1"/>
  <c r="M62" i="1"/>
  <c r="A64" i="1" l="1"/>
  <c r="H63" i="1"/>
  <c r="I63" i="1"/>
  <c r="J63" i="1"/>
  <c r="K63" i="1"/>
  <c r="L63" i="1"/>
  <c r="M63" i="1"/>
  <c r="A65" i="1" l="1"/>
  <c r="I64" i="1"/>
  <c r="J64" i="1"/>
  <c r="K64" i="1"/>
  <c r="H64" i="1"/>
  <c r="L64" i="1"/>
  <c r="M64" i="1"/>
  <c r="A66" i="1" l="1"/>
  <c r="K65" i="1"/>
  <c r="L65" i="1"/>
  <c r="H65" i="1"/>
  <c r="I65" i="1"/>
  <c r="J65" i="1"/>
  <c r="M65" i="1"/>
  <c r="A67" i="1" l="1"/>
  <c r="J66" i="1"/>
  <c r="H66" i="1"/>
  <c r="I66" i="1"/>
  <c r="K66" i="1"/>
  <c r="L66" i="1"/>
  <c r="M66" i="1"/>
  <c r="J67" i="1" l="1"/>
  <c r="L67" i="1"/>
  <c r="M67" i="1"/>
  <c r="K67" i="1"/>
  <c r="A68" i="1"/>
  <c r="H67" i="1"/>
  <c r="I67" i="1"/>
  <c r="H68" i="1" l="1"/>
  <c r="A69" i="1"/>
  <c r="I68" i="1"/>
  <c r="M68" i="1"/>
  <c r="K68" i="1"/>
  <c r="J68" i="1"/>
  <c r="L68" i="1"/>
  <c r="K69" i="1" l="1"/>
  <c r="A70" i="1"/>
  <c r="M69" i="1"/>
  <c r="J69" i="1"/>
  <c r="H69" i="1"/>
  <c r="L69" i="1"/>
  <c r="I69" i="1"/>
  <c r="M70" i="1" l="1"/>
  <c r="J70" i="1"/>
  <c r="L70" i="1"/>
  <c r="I70" i="1"/>
  <c r="K70" i="1"/>
  <c r="H70" i="1"/>
</calcChain>
</file>

<file path=xl/sharedStrings.xml><?xml version="1.0" encoding="utf-8"?>
<sst xmlns="http://schemas.openxmlformats.org/spreadsheetml/2006/main" count="291" uniqueCount="215">
  <si>
    <t>Index #</t>
  </si>
  <si>
    <t>Upper Channel</t>
  </si>
  <si>
    <t>Lower Channel</t>
  </si>
  <si>
    <t>Pedal Channel</t>
  </si>
  <si>
    <t>Kbd Driver</t>
  </si>
  <si>
    <t>Velocity Min</t>
  </si>
  <si>
    <t>Velocity Slope</t>
  </si>
  <si>
    <t>Pot Assign</t>
  </si>
  <si>
    <t>Button Assign</t>
  </si>
  <si>
    <t>Pot 1 CC</t>
  </si>
  <si>
    <t>Pot 2 CC</t>
  </si>
  <si>
    <t>Pot 3 CC</t>
  </si>
  <si>
    <t>Pot 4 CC</t>
  </si>
  <si>
    <t xml:space="preserve">const lcdTextType MenuItems[MENU_ITEMCOUNT] PROGMEM = { </t>
  </si>
  <si>
    <t>m_btn_back</t>
  </si>
  <si>
    <t>Upper Base</t>
  </si>
  <si>
    <t>Lower Base</t>
  </si>
  <si>
    <t>Pedal Base</t>
  </si>
  <si>
    <t>(end)</t>
  </si>
  <si>
    <t>enum {</t>
  </si>
  <si>
    <t>};</t>
  </si>
  <si>
    <t>const int8_t MenuLink[MENU_ITEMCOUNT] = {</t>
  </si>
  <si>
    <t>MenuLink</t>
  </si>
  <si>
    <t>Min</t>
  </si>
  <si>
    <t>Max</t>
  </si>
  <si>
    <t>const int8_t MenuValueMin[MENU_ITEMCOUNT] = {</t>
  </si>
  <si>
    <t>Default</t>
  </si>
  <si>
    <t>const int8_t MenuValueMax[MENU_ITEMCOUNT] = {</t>
  </si>
  <si>
    <t>MIDI_CH_UPR</t>
  </si>
  <si>
    <t>MIDI_CH_LWR</t>
  </si>
  <si>
    <t>MIDI_CH_PED</t>
  </si>
  <si>
    <t>drv_fatar1</t>
  </si>
  <si>
    <t>MIDI_BASE_UPR</t>
  </si>
  <si>
    <t>MIDI_BASE_LWR</t>
  </si>
  <si>
    <t>MIDI_BASE_PED</t>
  </si>
  <si>
    <t>MIDI_MINDYN</t>
  </si>
  <si>
    <t>MIDI_MAXDYNADJ</t>
  </si>
  <si>
    <t>MIDI_DYNSLOPE</t>
  </si>
  <si>
    <t>drv_custom</t>
  </si>
  <si>
    <t>Name</t>
  </si>
  <si>
    <t>m_upper_channel</t>
  </si>
  <si>
    <t>m_lower_channel</t>
  </si>
  <si>
    <t>m_pedal_channel</t>
  </si>
  <si>
    <t>m_driver_type</t>
  </si>
  <si>
    <t>m_mindyn</t>
  </si>
  <si>
    <t>m_maxdynadj</t>
  </si>
  <si>
    <t>m_slope</t>
  </si>
  <si>
    <t>m_upper_base</t>
  </si>
  <si>
    <t>m_lower_base</t>
  </si>
  <si>
    <t>m_pedal_base</t>
  </si>
  <si>
    <t>m_end</t>
  </si>
  <si>
    <t>m_CC1</t>
  </si>
  <si>
    <t>m_CC2</t>
  </si>
  <si>
    <t>m_CC3</t>
  </si>
  <si>
    <t>m_CC4</t>
  </si>
  <si>
    <t>m_cc_back</t>
  </si>
  <si>
    <t>m_btn1</t>
  </si>
  <si>
    <t>m_btn2</t>
  </si>
  <si>
    <t>m_btn3</t>
  </si>
  <si>
    <t>Menu Entry String (max. 15 Chars)</t>
  </si>
  <si>
    <t>Velocity MaxAdj</t>
  </si>
  <si>
    <t>Keyboard</t>
  </si>
  <si>
    <t>m_kbd_back</t>
  </si>
  <si>
    <t>m_kbd_subm</t>
  </si>
  <si>
    <t>m_cc_subm</t>
  </si>
  <si>
    <t>m_btn4</t>
  </si>
  <si>
    <t>m_btn5</t>
  </si>
  <si>
    <t>m_btn6</t>
  </si>
  <si>
    <t>m_btn7</t>
  </si>
  <si>
    <t>m_btn8</t>
  </si>
  <si>
    <t>m_btn9</t>
  </si>
  <si>
    <t>m_btn10</t>
  </si>
  <si>
    <t>m_btn11</t>
  </si>
  <si>
    <t>m_btn12</t>
  </si>
  <si>
    <t>m_btn13</t>
  </si>
  <si>
    <t>m_btn14</t>
  </si>
  <si>
    <t>m_btn15</t>
  </si>
  <si>
    <t>m_btn16</t>
  </si>
  <si>
    <t>m_CC5</t>
  </si>
  <si>
    <t>m_CC6</t>
  </si>
  <si>
    <t>m_CC7</t>
  </si>
  <si>
    <t>m_CC8</t>
  </si>
  <si>
    <t>m_CC9</t>
  </si>
  <si>
    <t>m_CC10</t>
  </si>
  <si>
    <t>m_CC11</t>
  </si>
  <si>
    <t>m_CC12</t>
  </si>
  <si>
    <t>m_CC13</t>
  </si>
  <si>
    <t>m_CC14</t>
  </si>
  <si>
    <t>m_CC15</t>
  </si>
  <si>
    <t>m_CC16</t>
  </si>
  <si>
    <t>Pot 5 CC</t>
  </si>
  <si>
    <t>Pot 6 CC</t>
  </si>
  <si>
    <t>Pot 7 CC</t>
  </si>
  <si>
    <t>Pot 8 CC</t>
  </si>
  <si>
    <t>Pot 9 CC</t>
  </si>
  <si>
    <t>Pot 10 CC</t>
  </si>
  <si>
    <t>Pot 11 CC</t>
  </si>
  <si>
    <t>Pot 12 CC</t>
  </si>
  <si>
    <t>Pot 13 CC</t>
  </si>
  <si>
    <t>Pot 14 CC</t>
  </si>
  <si>
    <t>Pot 15 CC</t>
  </si>
  <si>
    <t>Pot 16 CC</t>
  </si>
  <si>
    <t>int8_t MenuValues[MENU_ITEMCOUNT] = {</t>
  </si>
  <si>
    <t>Btn 1 Mode</t>
  </si>
  <si>
    <t>Btn 2 Mode</t>
  </si>
  <si>
    <t>Btn 3 Mode</t>
  </si>
  <si>
    <t>Btn 4 Mode</t>
  </si>
  <si>
    <t>Btn 5 Mode</t>
  </si>
  <si>
    <t>Btn 6 Mode</t>
  </si>
  <si>
    <t>Btn 7 Mode</t>
  </si>
  <si>
    <t>Btn 8 Mode</t>
  </si>
  <si>
    <t>Btn 9 Mode</t>
  </si>
  <si>
    <t>Btn 10 Mode</t>
  </si>
  <si>
    <t>Btn 11 Mode</t>
  </si>
  <si>
    <t>Btn 12 Mode</t>
  </si>
  <si>
    <t>Btn 13 Mode</t>
  </si>
  <si>
    <t>Btn 14 Mode</t>
  </si>
  <si>
    <t>Btn 15 Mode</t>
  </si>
  <si>
    <t>Btn 16 Mode</t>
  </si>
  <si>
    <t>Button Mode</t>
  </si>
  <si>
    <t>m_btnmode_back</t>
  </si>
  <si>
    <t>m_btnmode1</t>
  </si>
  <si>
    <t>m_btnmode2</t>
  </si>
  <si>
    <t>m_btnmode3</t>
  </si>
  <si>
    <t>m_btnmode4</t>
  </si>
  <si>
    <t>m_btnmode5</t>
  </si>
  <si>
    <t>m_btnmode6</t>
  </si>
  <si>
    <t>m_btnmode7</t>
  </si>
  <si>
    <t>m_btnmode8</t>
  </si>
  <si>
    <t>m_btnmode9</t>
  </si>
  <si>
    <t>m_btnmode10</t>
  </si>
  <si>
    <t>m_btnmode11</t>
  </si>
  <si>
    <t>m_btnmode12</t>
  </si>
  <si>
    <t>m_btnmode13</t>
  </si>
  <si>
    <t>m_btnmode14</t>
  </si>
  <si>
    <t>m_btnmode15</t>
  </si>
  <si>
    <t>m_btnmode16</t>
  </si>
  <si>
    <t>m_btnmode_subm</t>
  </si>
  <si>
    <t>m_btncc_subm</t>
  </si>
  <si>
    <t>Btn 1 CC/Prg</t>
  </si>
  <si>
    <t>Btn 2 CC/Prg</t>
  </si>
  <si>
    <t>Btn 3 CC/Prg</t>
  </si>
  <si>
    <t>Btn 4 CC/Prg</t>
  </si>
  <si>
    <t>Btn 5 CC/Prg</t>
  </si>
  <si>
    <t>Btn 6 CC/Prg</t>
  </si>
  <si>
    <t>Btn 7 CC/Prg</t>
  </si>
  <si>
    <t>Btn 8 CC/Prg</t>
  </si>
  <si>
    <t>Btn 9 CC/Prg</t>
  </si>
  <si>
    <t>Btn 10 CC/Prg</t>
  </si>
  <si>
    <t>Btn 11 CC/Prg</t>
  </si>
  <si>
    <t>Btn 12 CC/Prg</t>
  </si>
  <si>
    <t>Btn 13 CC/Prg</t>
  </si>
  <si>
    <t>Btn 14 CC/Prg</t>
  </si>
  <si>
    <t>Btn 15 CC/Prg</t>
  </si>
  <si>
    <t>Btn 16 CC/Prg</t>
  </si>
  <si>
    <t>Modulation Pot</t>
  </si>
  <si>
    <t>m_pitchwheel_pot</t>
  </si>
  <si>
    <t>m_modulation_pot</t>
  </si>
  <si>
    <t>Pitchwheel Pot</t>
  </si>
  <si>
    <t>(Pot CC)</t>
  </si>
  <si>
    <t>(Btn CC)</t>
  </si>
  <si>
    <t>(Btn Mode)</t>
  </si>
  <si>
    <t>(Keyboard)</t>
  </si>
  <si>
    <t>Comment</t>
  </si>
  <si>
    <t>Main Menus</t>
  </si>
  <si>
    <t>Submenu Pots</t>
  </si>
  <si>
    <t>Exit entry, back to main</t>
  </si>
  <si>
    <t>Submenu Button Fuction</t>
  </si>
  <si>
    <t>Submenu Button Mode</t>
  </si>
  <si>
    <t>Submenu Keyboard Params</t>
  </si>
  <si>
    <t>Master Volume</t>
  </si>
  <si>
    <t>Amp Gain</t>
  </si>
  <si>
    <t>Upper DBs</t>
  </si>
  <si>
    <t>Lower DBs</t>
  </si>
  <si>
    <t>Pedal DBs</t>
  </si>
  <si>
    <t>Upper DB 16</t>
  </si>
  <si>
    <t>Upper DB 5 1/3</t>
  </si>
  <si>
    <t>Upper DB 8</t>
  </si>
  <si>
    <t>Upper DB 4</t>
  </si>
  <si>
    <t>Upper DB 2 2/3</t>
  </si>
  <si>
    <t>Upper DB 2</t>
  </si>
  <si>
    <t>Upper DB 1 3/5</t>
  </si>
  <si>
    <t>Upper DB 1 1/3</t>
  </si>
  <si>
    <t>Upper DB 1</t>
  </si>
  <si>
    <t>Lower DB 16</t>
  </si>
  <si>
    <t>Lower DB 5 1/3</t>
  </si>
  <si>
    <t>Lower DB 8</t>
  </si>
  <si>
    <t>Lower DB 4</t>
  </si>
  <si>
    <t>Lower DB 2 2/3</t>
  </si>
  <si>
    <t>Lower DB 2</t>
  </si>
  <si>
    <t>Lower DB 1 3/5</t>
  </si>
  <si>
    <t>Lower DB 1 1/3</t>
  </si>
  <si>
    <t>Lower DB 1</t>
  </si>
  <si>
    <t>Pedal DB 16</t>
  </si>
  <si>
    <t>Pedal DB 8</t>
  </si>
  <si>
    <t>End</t>
  </si>
  <si>
    <t>Upper DB</t>
  </si>
  <si>
    <t>Lower DB</t>
  </si>
  <si>
    <t>Pedal DB</t>
  </si>
  <si>
    <t>ac_none</t>
  </si>
  <si>
    <t>Change Action</t>
  </si>
  <si>
    <t>ac_upper_db</t>
  </si>
  <si>
    <t>ac_lower_db</t>
  </si>
  <si>
    <t>ac_pedal_db</t>
  </si>
  <si>
    <t>ac_volume</t>
  </si>
  <si>
    <t>const int8_t EditAction[MENU_ITEMCOUNT] = {</t>
  </si>
  <si>
    <t>int8_t EditValues[MENU_ITEMCOUNT] = {</t>
  </si>
  <si>
    <t>Utilities</t>
  </si>
  <si>
    <t>SD Card Init</t>
  </si>
  <si>
    <t>Load SD Scan</t>
  </si>
  <si>
    <t>Flash SD Scan</t>
  </si>
  <si>
    <t>Flash FPGA</t>
  </si>
  <si>
    <t>Reload FPGA</t>
  </si>
  <si>
    <t>Test</t>
  </si>
  <si>
    <t>Flash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</si>
</sst>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Lucida Console"/>
      <family val="3"/>
    </font>
    <font>
      <sz val="10"/>
      <name val="Lucida Console"/>
      <family val="3"/>
    </font>
    <font>
      <sz val="10"/>
      <color rgb="FFFF0000"/>
      <name val="Lucida Console"/>
      <family val="3"/>
    </font>
    <font>
      <sz val="10"/>
      <color rgb="FF0070C0"/>
      <name val="Lucida Console"/>
      <family val="3"/>
    </font>
    <font>
      <sz val="10"/>
      <name val="Arial"/>
      <family val="2"/>
    </font>
    <font>
      <b/>
      <sz val="10"/>
      <color indexed="10"/>
      <name val="Lucida Console"/>
      <family val="3"/>
    </font>
    <font>
      <b/>
      <sz val="10"/>
      <color rgb="FF0070C0"/>
      <name val="Lucida Console"/>
      <family val="3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sz val="11"/>
      <name val="Consolas"/>
      <family val="3"/>
    </font>
    <font>
      <sz val="11"/>
      <name val="Calibri"/>
      <family val="2"/>
      <scheme val="minor"/>
    </font>
    <font>
      <sz val="10"/>
      <color theme="1" tint="0.499984740745262"/>
      <name val="Lucida Console"/>
      <family val="3"/>
    </font>
    <font>
      <sz val="10"/>
      <color rgb="FF00B0F0"/>
      <name val="Lucida Console"/>
      <family val="3"/>
    </font>
    <font>
      <sz val="11"/>
      <color rgb="FF00B0F0"/>
      <name val="Calibri"/>
      <family val="2"/>
      <scheme val="minor"/>
    </font>
    <font>
      <b/>
      <sz val="10"/>
      <color rgb="FF00B0F0"/>
      <name val="Arial Unicode MS"/>
      <family val="2"/>
    </font>
    <font>
      <b/>
      <sz val="11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9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49" fontId="3" fillId="0" borderId="0" xfId="0" applyNumberFormat="1" applyFont="1" applyFill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11" fillId="2" borderId="0" xfId="0" applyNumberFormat="1" applyFont="1" applyFill="1" applyAlignment="1">
      <alignment horizontal="left" vertical="top" wrapText="1"/>
    </xf>
    <xf numFmtId="49" fontId="12" fillId="2" borderId="0" xfId="0" applyNumberFormat="1" applyFont="1" applyFill="1" applyAlignment="1">
      <alignment horizontal="left" vertical="top" wrapText="1"/>
    </xf>
    <xf numFmtId="49" fontId="4" fillId="0" borderId="0" xfId="0" applyNumberFormat="1" applyFont="1" applyFill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49" fontId="14" fillId="0" borderId="0" xfId="0" applyNumberFormat="1" applyFont="1" applyAlignment="1">
      <alignment horizontal="left"/>
    </xf>
    <xf numFmtId="0" fontId="14" fillId="0" borderId="0" xfId="0" applyFont="1" applyFill="1" applyAlignment="1">
      <alignment horizontal="left"/>
    </xf>
    <xf numFmtId="0" fontId="13" fillId="0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15" fillId="0" borderId="0" xfId="0" applyFont="1" applyFill="1" applyAlignment="1">
      <alignment horizontal="left"/>
    </xf>
    <xf numFmtId="0" fontId="16" fillId="0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1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17" fillId="0" borderId="0" xfId="0" applyFont="1" applyFill="1" applyAlignment="1">
      <alignment horizontal="left"/>
    </xf>
    <xf numFmtId="0" fontId="18" fillId="0" borderId="0" xfId="0" applyFont="1" applyAlignment="1">
      <alignment vertical="top"/>
    </xf>
    <xf numFmtId="0" fontId="17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8" fillId="6" borderId="0" xfId="0" applyFont="1" applyFill="1" applyAlignment="1">
      <alignment horizontal="left"/>
    </xf>
    <xf numFmtId="0" fontId="19" fillId="0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8" fillId="7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abSelected="1" workbookViewId="0">
      <selection activeCell="E36" sqref="E36"/>
    </sheetView>
  </sheetViews>
  <sheetFormatPr baseColWidth="10" defaultRowHeight="15" x14ac:dyDescent="0.25"/>
  <cols>
    <col min="1" max="1" width="10.28515625" style="4" customWidth="1"/>
    <col min="2" max="2" width="20.140625" style="1" customWidth="1"/>
    <col min="3" max="3" width="14.7109375" style="1" customWidth="1"/>
    <col min="4" max="5" width="12.5703125" style="1" customWidth="1"/>
    <col min="6" max="6" width="13.85546875" style="1" customWidth="1"/>
    <col min="7" max="7" width="19" style="12" customWidth="1"/>
    <col min="8" max="8" width="14.42578125" style="12" customWidth="1"/>
    <col min="9" max="9" width="29.7109375" style="12" customWidth="1"/>
    <col min="10" max="10" width="36.5703125" style="1" customWidth="1"/>
    <col min="11" max="11" width="26" style="1" customWidth="1"/>
    <col min="12" max="12" width="22.85546875" style="12" customWidth="1"/>
    <col min="13" max="13" width="25.42578125" style="12" customWidth="1"/>
    <col min="14" max="14" width="24" style="28" customWidth="1"/>
    <col min="15" max="15" width="22.85546875" style="12" customWidth="1"/>
    <col min="16" max="16384" width="11.42578125" style="12"/>
  </cols>
  <sheetData>
    <row r="1" spans="1:16" s="7" customFormat="1" ht="45.75" customHeight="1" x14ac:dyDescent="0.25">
      <c r="A1" s="6" t="s">
        <v>0</v>
      </c>
      <c r="B1" s="6" t="s">
        <v>59</v>
      </c>
      <c r="C1" s="10" t="s">
        <v>22</v>
      </c>
      <c r="D1" s="10" t="s">
        <v>23</v>
      </c>
      <c r="E1" s="10" t="s">
        <v>24</v>
      </c>
      <c r="F1" s="10" t="s">
        <v>26</v>
      </c>
      <c r="G1" s="11" t="s">
        <v>39</v>
      </c>
      <c r="H1" s="11" t="s">
        <v>200</v>
      </c>
      <c r="I1" s="8" t="s">
        <v>19</v>
      </c>
      <c r="J1" s="8" t="s">
        <v>13</v>
      </c>
      <c r="K1" s="8" t="s">
        <v>25</v>
      </c>
      <c r="L1" s="9" t="s">
        <v>27</v>
      </c>
      <c r="M1" s="8" t="s">
        <v>21</v>
      </c>
      <c r="N1" s="8" t="s">
        <v>205</v>
      </c>
      <c r="O1" s="9" t="s">
        <v>206</v>
      </c>
      <c r="P1" s="13"/>
    </row>
    <row r="2" spans="1:16" x14ac:dyDescent="0.25">
      <c r="A2" s="2">
        <v>0</v>
      </c>
      <c r="B2" s="1" t="s">
        <v>172</v>
      </c>
      <c r="C2" s="5" t="str">
        <f>G11</f>
        <v>m_upper_db_16</v>
      </c>
      <c r="D2" s="1">
        <v>1</v>
      </c>
      <c r="E2" s="1">
        <v>0</v>
      </c>
      <c r="F2" s="1">
        <v>0</v>
      </c>
      <c r="G2" s="12" t="str">
        <f>CONCATENATE("m_",LOWER(SUBSTITUTE(B2," ","_")))</f>
        <v>m_upper_dbs</v>
      </c>
      <c r="H2" s="12" t="s">
        <v>199</v>
      </c>
      <c r="I2" s="18" t="str">
        <f t="shared" ref="I2:I10" si="0">CONCATENATE("  ",G2,", // #",A2," = ",B2,IF(C2&lt;0," EXIT ",""))</f>
        <v xml:space="preserve">  m_upper_dbs, // #0 = Upper DBs</v>
      </c>
      <c r="J2" s="1" t="str">
        <f t="shared" ref="J2:J10" si="1">CONCATENATE("  { """,B2,""" },  // #",A2," ",IF(C2&lt;0," EXIT SUBM",""))</f>
        <v xml:space="preserve">  { "Upper DBs" },  // #0 </v>
      </c>
      <c r="K2" s="18" t="str">
        <f t="shared" ref="K2:K10" si="2">CONCATENATE("  ",D2,", // #",A2," = ",B2,IF(C2&lt;0," EXIT ",""))</f>
        <v xml:space="preserve">  1, // #0 = Upper DBs</v>
      </c>
      <c r="L2" s="18" t="str">
        <f t="shared" ref="L2:L10" si="3">CONCATENATE("  ",E2,", // #",A2," = ",B2,IF(C2&lt;0," EXIT ",""))</f>
        <v xml:space="preserve">  0, // #0 = Upper DBs</v>
      </c>
      <c r="M2" s="18" t="str">
        <f t="shared" ref="M2:M10" si="4">CONCATENATE("  ",C2,", // #",A2," = ",B2,IF(C2&lt;0," EXIT ",""))</f>
        <v xml:space="preserve">  m_upper_db_16, // #0 = Upper DBs</v>
      </c>
      <c r="N2" s="18" t="str">
        <f>CONCATENATE("  ",H2,", // ",B2)</f>
        <v xml:space="preserve">  ac_none, // Upper DBs</v>
      </c>
      <c r="O2" s="18" t="str">
        <f t="shared" ref="O2:O49" si="5">CONCATENATE("  ",F2,", // #",A2," = ",B2,IF(C2&lt;0," EXIT ",""))</f>
        <v xml:space="preserve">  0, // #0 = Upper DBs</v>
      </c>
      <c r="P2" s="13"/>
    </row>
    <row r="3" spans="1:16" x14ac:dyDescent="0.25">
      <c r="A3" s="2">
        <f t="shared" ref="A3:A47" si="6">A2+1</f>
        <v>1</v>
      </c>
      <c r="B3" s="1" t="s">
        <v>173</v>
      </c>
      <c r="C3" s="5" t="str">
        <f>G21</f>
        <v>m_lower_db_16</v>
      </c>
      <c r="D3" s="1">
        <v>1</v>
      </c>
      <c r="E3" s="1">
        <v>16</v>
      </c>
      <c r="F3" s="1">
        <v>0</v>
      </c>
      <c r="G3" s="12" t="str">
        <f t="shared" ref="G3:G9" si="7">CONCATENATE("m_",LOWER(SUBSTITUTE(B3," ","_")))</f>
        <v>m_lower_dbs</v>
      </c>
      <c r="H3" s="12" t="s">
        <v>199</v>
      </c>
      <c r="I3" s="18" t="str">
        <f t="shared" si="0"/>
        <v xml:space="preserve">  m_lower_dbs, // #1 = Lower DBs</v>
      </c>
      <c r="J3" s="1" t="str">
        <f t="shared" si="1"/>
        <v xml:space="preserve">  { "Lower DBs" },  // #1 </v>
      </c>
      <c r="K3" s="18" t="str">
        <f t="shared" si="2"/>
        <v xml:space="preserve">  1, // #1 = Lower DBs</v>
      </c>
      <c r="L3" s="18" t="str">
        <f t="shared" si="3"/>
        <v xml:space="preserve">  16, // #1 = Lower DBs</v>
      </c>
      <c r="M3" s="18" t="str">
        <f t="shared" si="4"/>
        <v xml:space="preserve">  m_lower_db_16, // #1 = Lower DBs</v>
      </c>
      <c r="N3" s="18" t="str">
        <f t="shared" ref="N3:N49" si="8">CONCATENATE("  ",H3,", // ",B3)</f>
        <v xml:space="preserve">  ac_none, // Lower DBs</v>
      </c>
      <c r="O3" s="18" t="str">
        <f t="shared" si="5"/>
        <v xml:space="preserve">  0, // #1 = Lower DBs</v>
      </c>
      <c r="P3" s="13"/>
    </row>
    <row r="4" spans="1:16" x14ac:dyDescent="0.25">
      <c r="A4" s="2">
        <f t="shared" si="6"/>
        <v>2</v>
      </c>
      <c r="B4" s="1" t="s">
        <v>174</v>
      </c>
      <c r="C4" s="5" t="str">
        <f>G31</f>
        <v>m_pedal_db_16</v>
      </c>
      <c r="D4" s="1">
        <v>1</v>
      </c>
      <c r="E4" s="1">
        <v>16</v>
      </c>
      <c r="F4" s="1">
        <v>0</v>
      </c>
      <c r="G4" s="12" t="str">
        <f t="shared" si="7"/>
        <v>m_pedal_dbs</v>
      </c>
      <c r="H4" s="12" t="s">
        <v>199</v>
      </c>
      <c r="I4" s="18" t="str">
        <f t="shared" si="0"/>
        <v xml:space="preserve">  m_pedal_dbs, // #2 = Pedal DBs</v>
      </c>
      <c r="J4" s="1" t="str">
        <f t="shared" si="1"/>
        <v xml:space="preserve">  { "Pedal DBs" },  // #2 </v>
      </c>
      <c r="K4" s="18" t="str">
        <f t="shared" si="2"/>
        <v xml:space="preserve">  1, // #2 = Pedal DBs</v>
      </c>
      <c r="L4" s="18" t="str">
        <f t="shared" si="3"/>
        <v xml:space="preserve">  16, // #2 = Pedal DBs</v>
      </c>
      <c r="M4" s="18" t="str">
        <f t="shared" si="4"/>
        <v xml:space="preserve">  m_pedal_db_16, // #2 = Pedal DBs</v>
      </c>
      <c r="N4" s="18" t="str">
        <f t="shared" si="8"/>
        <v xml:space="preserve">  ac_none, // Pedal DBs</v>
      </c>
      <c r="O4" s="18" t="str">
        <f t="shared" si="5"/>
        <v xml:space="preserve">  0, // #2 = Pedal DBs</v>
      </c>
      <c r="P4" s="13"/>
    </row>
    <row r="5" spans="1:16" x14ac:dyDescent="0.25">
      <c r="A5" s="2">
        <f t="shared" si="6"/>
        <v>3</v>
      </c>
      <c r="B5" s="32" t="s">
        <v>170</v>
      </c>
      <c r="C5" s="1">
        <v>0</v>
      </c>
      <c r="D5" s="12">
        <v>0</v>
      </c>
      <c r="E5" s="12">
        <v>127</v>
      </c>
      <c r="F5" s="12">
        <v>127</v>
      </c>
      <c r="G5" s="12" t="str">
        <f>CONCATENATE("m_",LOWER(SUBSTITUTE(SUBSTITUTE(B5,"/","")," ","_")))</f>
        <v>m_master_volume</v>
      </c>
      <c r="H5" s="12" t="s">
        <v>204</v>
      </c>
      <c r="I5" s="18" t="str">
        <f t="shared" si="0"/>
        <v xml:space="preserve">  m_master_volume, // #3 = Master Volume</v>
      </c>
      <c r="J5" s="1" t="str">
        <f t="shared" si="1"/>
        <v xml:space="preserve">  { "Master Volume" },  // #3 </v>
      </c>
      <c r="K5" s="18" t="str">
        <f t="shared" si="2"/>
        <v xml:space="preserve">  0, // #3 = Master Volume</v>
      </c>
      <c r="L5" s="18" t="str">
        <f t="shared" si="3"/>
        <v xml:space="preserve">  127, // #3 = Master Volume</v>
      </c>
      <c r="M5" s="18" t="str">
        <f t="shared" si="4"/>
        <v xml:space="preserve">  0, // #3 = Master Volume</v>
      </c>
      <c r="N5" s="18" t="str">
        <f>CONCATENATE("  ",H5,", // ",B5)</f>
        <v xml:space="preserve">  ac_volume, // Master Volume</v>
      </c>
      <c r="O5" s="18" t="str">
        <f t="shared" si="5"/>
        <v xml:space="preserve">  127, // #3 = Master Volume</v>
      </c>
      <c r="P5" s="17"/>
    </row>
    <row r="6" spans="1:16" x14ac:dyDescent="0.25">
      <c r="A6" s="2">
        <f t="shared" si="6"/>
        <v>4</v>
      </c>
      <c r="B6" s="33" t="s">
        <v>171</v>
      </c>
      <c r="C6" s="1">
        <v>0</v>
      </c>
      <c r="D6" s="12">
        <v>0</v>
      </c>
      <c r="E6" s="12">
        <v>127</v>
      </c>
      <c r="F6" s="12">
        <v>40</v>
      </c>
      <c r="G6" s="12" t="str">
        <f t="shared" ref="G6" si="9">CONCATENATE("m_",LOWER(SUBSTITUTE(SUBSTITUTE(B6,"/","")," ","_")))</f>
        <v>m_amp_gain</v>
      </c>
      <c r="H6" s="12" t="s">
        <v>204</v>
      </c>
      <c r="I6" s="18" t="str">
        <f t="shared" si="0"/>
        <v xml:space="preserve">  m_amp_gain, // #4 = Amp Gain</v>
      </c>
      <c r="J6" s="1" t="str">
        <f t="shared" si="1"/>
        <v xml:space="preserve">  { "Amp Gain" },  // #4 </v>
      </c>
      <c r="K6" s="18" t="str">
        <f t="shared" si="2"/>
        <v xml:space="preserve">  0, // #4 = Amp Gain</v>
      </c>
      <c r="L6" s="18" t="str">
        <f t="shared" si="3"/>
        <v xml:space="preserve">  127, // #4 = Amp Gain</v>
      </c>
      <c r="M6" s="18" t="str">
        <f t="shared" si="4"/>
        <v xml:space="preserve">  0, // #4 = Amp Gain</v>
      </c>
      <c r="N6" s="18" t="str">
        <f>CONCATENATE("  ",H6,", // ",B6)</f>
        <v xml:space="preserve">  ac_volume, // Amp Gain</v>
      </c>
      <c r="O6" s="18" t="str">
        <f t="shared" si="5"/>
        <v xml:space="preserve">  40, // #4 = Amp Gain</v>
      </c>
      <c r="P6" s="17"/>
    </row>
    <row r="7" spans="1:16" x14ac:dyDescent="0.25">
      <c r="A7" s="2">
        <f t="shared" si="6"/>
        <v>5</v>
      </c>
      <c r="B7" s="33" t="s">
        <v>207</v>
      </c>
      <c r="C7" s="5" t="str">
        <f>G34</f>
        <v>m_sd_card_init</v>
      </c>
      <c r="D7" s="12">
        <v>0</v>
      </c>
      <c r="E7" s="12">
        <v>127</v>
      </c>
      <c r="F7" s="12">
        <v>-47</v>
      </c>
      <c r="G7" s="12" t="str">
        <f>CONCATENATE("m_",LOWER(SUBSTITUTE(SUBSTITUTE(B7,"/","")," ","_")))</f>
        <v>m_utilities</v>
      </c>
      <c r="H7" s="12" t="s">
        <v>199</v>
      </c>
      <c r="I7" s="18" t="str">
        <f t="shared" ref="I7" si="10">CONCATENATE("  ",G7,", // #",A7," = ",B7,IF(C7&lt;0," EXIT ",""))</f>
        <v xml:space="preserve">  m_utilities, // #5 = Utilities</v>
      </c>
      <c r="J7" s="1" t="str">
        <f t="shared" ref="J7" si="11">CONCATENATE("  { """,B7,""" },  // #",A7," ",IF(C7&lt;0," EXIT SUBM",""))</f>
        <v xml:space="preserve">  { "Utilities" },  // #5 </v>
      </c>
      <c r="K7" s="18" t="str">
        <f t="shared" ref="K7" si="12">CONCATENATE("  ",D7,", // #",A7," = ",B7,IF(C7&lt;0," EXIT ",""))</f>
        <v xml:space="preserve">  0, // #5 = Utilities</v>
      </c>
      <c r="L7" s="18" t="str">
        <f t="shared" ref="L7" si="13">CONCATENATE("  ",E7,", // #",A7," = ",B7,IF(C7&lt;0," EXIT ",""))</f>
        <v xml:space="preserve">  127, // #5 = Utilities</v>
      </c>
      <c r="M7" s="18" t="str">
        <f t="shared" ref="M7" si="14">CONCATENATE("  ",C7,", // #",A7," = ",B7,IF(C7&lt;0," EXIT ",""))</f>
        <v xml:space="preserve">  m_sd_card_init, // #5 = Utilities</v>
      </c>
      <c r="N7" s="18" t="str">
        <f>CONCATENATE("  ",H7,", // ",B7)</f>
        <v xml:space="preserve">  ac_none, // Utilities</v>
      </c>
      <c r="O7" s="18" t="str">
        <f t="shared" ref="O7" si="15">CONCATENATE("  ",F7,", // #",A7," = ",B7,IF(C7&lt;0," EXIT ",""))</f>
        <v xml:space="preserve">  -47, // #5 = Utilities</v>
      </c>
      <c r="P7" s="17"/>
    </row>
    <row r="8" spans="1:16" s="14" customFormat="1" x14ac:dyDescent="0.25">
      <c r="A8" s="2">
        <f t="shared" si="6"/>
        <v>6</v>
      </c>
      <c r="B8" s="1" t="s">
        <v>61</v>
      </c>
      <c r="C8" s="5" t="str">
        <f>G42</f>
        <v>m_kbd_driver</v>
      </c>
      <c r="D8" s="1">
        <v>0</v>
      </c>
      <c r="E8" s="19">
        <v>0</v>
      </c>
      <c r="F8" s="1">
        <v>0</v>
      </c>
      <c r="G8" s="12" t="str">
        <f>CONCATENATE("m_",LOWER(SUBSTITUTE(B8," ","_")))</f>
        <v>m_keyboard</v>
      </c>
      <c r="H8" s="12" t="s">
        <v>199</v>
      </c>
      <c r="I8" s="18" t="str">
        <f t="shared" si="0"/>
        <v xml:space="preserve">  m_keyboard, // #6 = Keyboard</v>
      </c>
      <c r="J8" s="1" t="str">
        <f t="shared" si="1"/>
        <v xml:space="preserve">  { "Keyboard" },  // #6 </v>
      </c>
      <c r="K8" s="18" t="str">
        <f t="shared" si="2"/>
        <v xml:space="preserve">  0, // #6 = Keyboard</v>
      </c>
      <c r="L8" s="18" t="str">
        <f t="shared" si="3"/>
        <v xml:space="preserve">  0, // #6 = Keyboard</v>
      </c>
      <c r="M8" s="18" t="str">
        <f t="shared" si="4"/>
        <v xml:space="preserve">  m_kbd_driver, // #6 = Keyboard</v>
      </c>
      <c r="N8" s="18" t="str">
        <f t="shared" si="8"/>
        <v xml:space="preserve">  ac_none, // Keyboard</v>
      </c>
      <c r="O8" s="18" t="str">
        <f t="shared" si="5"/>
        <v xml:space="preserve">  0, // #6 = Keyboard</v>
      </c>
      <c r="P8" s="13"/>
    </row>
    <row r="9" spans="1:16" x14ac:dyDescent="0.25">
      <c r="A9" s="2">
        <f t="shared" si="6"/>
        <v>7</v>
      </c>
      <c r="B9" s="1" t="s">
        <v>158</v>
      </c>
      <c r="C9" s="1">
        <v>0</v>
      </c>
      <c r="D9" s="1">
        <v>-1</v>
      </c>
      <c r="E9" s="1">
        <v>31</v>
      </c>
      <c r="F9" s="1">
        <v>-1</v>
      </c>
      <c r="G9" s="12" t="str">
        <f t="shared" si="7"/>
        <v>m_pitchwheel_pot</v>
      </c>
      <c r="H9" s="12" t="s">
        <v>199</v>
      </c>
      <c r="I9" s="18" t="str">
        <f t="shared" si="0"/>
        <v xml:space="preserve">  m_pitchwheel_pot, // #7 = Pitchwheel Pot</v>
      </c>
      <c r="J9" s="1" t="str">
        <f t="shared" si="1"/>
        <v xml:space="preserve">  { "Pitchwheel Pot" },  // #7 </v>
      </c>
      <c r="K9" s="18" t="str">
        <f t="shared" si="2"/>
        <v xml:space="preserve">  -1, // #7 = Pitchwheel Pot</v>
      </c>
      <c r="L9" s="18" t="str">
        <f t="shared" si="3"/>
        <v xml:space="preserve">  31, // #7 = Pitchwheel Pot</v>
      </c>
      <c r="M9" s="18" t="str">
        <f t="shared" si="4"/>
        <v xml:space="preserve">  0, // #7 = Pitchwheel Pot</v>
      </c>
      <c r="N9" s="18" t="str">
        <f t="shared" si="8"/>
        <v xml:space="preserve">  ac_none, // Pitchwheel Pot</v>
      </c>
      <c r="O9" s="18" t="str">
        <f t="shared" si="5"/>
        <v xml:space="preserve">  -1, // #7 = Pitchwheel Pot</v>
      </c>
      <c r="P9" s="13"/>
    </row>
    <row r="10" spans="1:16" x14ac:dyDescent="0.25">
      <c r="A10" s="2">
        <f t="shared" si="6"/>
        <v>8</v>
      </c>
      <c r="B10" s="22" t="s">
        <v>195</v>
      </c>
      <c r="C10" s="22">
        <v>0</v>
      </c>
      <c r="D10" s="22">
        <v>0</v>
      </c>
      <c r="E10" s="22">
        <v>0</v>
      </c>
      <c r="F10" s="22">
        <v>0</v>
      </c>
      <c r="G10" s="34" t="s">
        <v>50</v>
      </c>
      <c r="H10" s="12" t="s">
        <v>199</v>
      </c>
      <c r="I10" s="26" t="str">
        <f t="shared" si="0"/>
        <v xml:space="preserve">  m_end, // #8 = End</v>
      </c>
      <c r="J10" s="22" t="str">
        <f t="shared" si="1"/>
        <v xml:space="preserve">  { "End" },  // #8 </v>
      </c>
      <c r="K10" s="26" t="str">
        <f t="shared" si="2"/>
        <v xml:space="preserve">  0, // #8 = End</v>
      </c>
      <c r="L10" s="26" t="str">
        <f t="shared" si="3"/>
        <v xml:space="preserve">  0, // #8 = End</v>
      </c>
      <c r="M10" s="26" t="str">
        <f t="shared" si="4"/>
        <v xml:space="preserve">  0, // #8 = End</v>
      </c>
      <c r="N10" s="18" t="str">
        <f t="shared" si="8"/>
        <v xml:space="preserve">  ac_none, // End</v>
      </c>
      <c r="O10" s="26" t="str">
        <f t="shared" si="5"/>
        <v xml:space="preserve">  0, // #8 = End</v>
      </c>
      <c r="P10" s="13"/>
    </row>
    <row r="11" spans="1:16" x14ac:dyDescent="0.25">
      <c r="A11" s="2">
        <f t="shared" si="6"/>
        <v>9</v>
      </c>
      <c r="B11" s="35" t="s">
        <v>175</v>
      </c>
      <c r="C11" s="1">
        <v>0</v>
      </c>
      <c r="D11" s="12">
        <v>0</v>
      </c>
      <c r="E11" s="12">
        <v>127</v>
      </c>
      <c r="F11" s="12">
        <v>127</v>
      </c>
      <c r="G11" s="12" t="str">
        <f>CONCATENATE("m_",LOWER(SUBSTITUTE(SUBSTITUTE(B11,"/","")," ","_")))</f>
        <v>m_upper_db_16</v>
      </c>
      <c r="H11" s="12" t="s">
        <v>201</v>
      </c>
      <c r="I11" s="18" t="str">
        <f t="shared" ref="I11" si="16">CONCATENATE("  ",G11,", // #",A11," = ",B11,IF(C11&lt;0," EXIT ",""))</f>
        <v xml:space="preserve">  m_upper_db_16, // #9 = Upper DB 16</v>
      </c>
      <c r="J11" s="1" t="str">
        <f t="shared" ref="J11" si="17">CONCATENATE("  { """,B11,""" },  // #",A11," ",IF(C11&lt;0," EXIT SUBM",""))</f>
        <v xml:space="preserve">  { "Upper DB 16" },  // #9 </v>
      </c>
      <c r="K11" s="18" t="str">
        <f t="shared" ref="K11" si="18">CONCATENATE("  ",D11,", // #",A11," = ",B11,IF(C11&lt;0," EXIT ",""))</f>
        <v xml:space="preserve">  0, // #9 = Upper DB 16</v>
      </c>
      <c r="L11" s="18" t="str">
        <f t="shared" ref="L11" si="19">CONCATENATE("  ",E11,", // #",A11," = ",B11,IF(C11&lt;0," EXIT ",""))</f>
        <v xml:space="preserve">  127, // #9 = Upper DB 16</v>
      </c>
      <c r="M11" s="18" t="str">
        <f t="shared" ref="M11" si="20">CONCATENATE("  ",C11,", // #",A11," = ",B11,IF(C11&lt;0," EXIT ",""))</f>
        <v xml:space="preserve">  0, // #9 = Upper DB 16</v>
      </c>
      <c r="N11" s="18" t="str">
        <f t="shared" si="8"/>
        <v xml:space="preserve">  ac_upper_db, // Upper DB 16</v>
      </c>
      <c r="O11" s="18" t="str">
        <f t="shared" si="5"/>
        <v xml:space="preserve">  127, // #9 = Upper DB 16</v>
      </c>
      <c r="P11" s="13"/>
    </row>
    <row r="12" spans="1:16" x14ac:dyDescent="0.25">
      <c r="A12" s="2">
        <f t="shared" si="6"/>
        <v>10</v>
      </c>
      <c r="B12" s="29" t="s">
        <v>176</v>
      </c>
      <c r="C12" s="1">
        <v>0</v>
      </c>
      <c r="D12" s="12">
        <v>0</v>
      </c>
      <c r="E12" s="12">
        <v>127</v>
      </c>
      <c r="F12" s="12">
        <v>127</v>
      </c>
      <c r="G12" s="12" t="str">
        <f t="shared" ref="G12:G19" si="21">CONCATENATE("m_",LOWER(SUBSTITUTE(SUBSTITUTE(B12,"/","")," ","_")))</f>
        <v>m_upper_db_5_13</v>
      </c>
      <c r="H12" s="12" t="s">
        <v>201</v>
      </c>
      <c r="I12" s="18" t="str">
        <f t="shared" ref="I12:I19" si="22">CONCATENATE("  ",G12,", // #",A12," = ",B12,IF(C12&lt;0," EXIT ",""))</f>
        <v xml:space="preserve">  m_upper_db_5_13, // #10 = Upper DB 5 1/3</v>
      </c>
      <c r="J12" s="1" t="str">
        <f t="shared" ref="J12:J19" si="23">CONCATENATE("  { """,B12,""" },  // #",A12," ",IF(C12&lt;0," EXIT SUBM",""))</f>
        <v xml:space="preserve">  { "Upper DB 5 1/3" },  // #10 </v>
      </c>
      <c r="K12" s="18" t="str">
        <f t="shared" ref="K12:K19" si="24">CONCATENATE("  ",D12,", // #",A12," = ",B12,IF(C12&lt;0," EXIT ",""))</f>
        <v xml:space="preserve">  0, // #10 = Upper DB 5 1/3</v>
      </c>
      <c r="L12" s="18" t="str">
        <f t="shared" ref="L12:L19" si="25">CONCATENATE("  ",E12,", // #",A12," = ",B12,IF(C12&lt;0," EXIT ",""))</f>
        <v xml:space="preserve">  127, // #10 = Upper DB 5 1/3</v>
      </c>
      <c r="M12" s="18" t="str">
        <f t="shared" ref="M12:M19" si="26">CONCATENATE("  ",C12,", // #",A12," = ",B12,IF(C12&lt;0," EXIT ",""))</f>
        <v xml:space="preserve">  0, // #10 = Upper DB 5 1/3</v>
      </c>
      <c r="N12" s="18" t="str">
        <f t="shared" si="8"/>
        <v xml:space="preserve">  ac_upper_db, // Upper DB 5 1/3</v>
      </c>
      <c r="O12" s="18" t="str">
        <f t="shared" si="5"/>
        <v xml:space="preserve">  127, // #10 = Upper DB 5 1/3</v>
      </c>
      <c r="P12" s="13"/>
    </row>
    <row r="13" spans="1:16" x14ac:dyDescent="0.25">
      <c r="A13" s="2">
        <f t="shared" si="6"/>
        <v>11</v>
      </c>
      <c r="B13" s="29" t="s">
        <v>177</v>
      </c>
      <c r="C13" s="1">
        <v>0</v>
      </c>
      <c r="D13" s="12">
        <v>0</v>
      </c>
      <c r="E13" s="12">
        <v>127</v>
      </c>
      <c r="F13" s="12">
        <v>127</v>
      </c>
      <c r="G13" s="12" t="str">
        <f t="shared" si="21"/>
        <v>m_upper_db_8</v>
      </c>
      <c r="H13" s="12" t="s">
        <v>201</v>
      </c>
      <c r="I13" s="18" t="str">
        <f t="shared" si="22"/>
        <v xml:space="preserve">  m_upper_db_8, // #11 = Upper DB 8</v>
      </c>
      <c r="J13" s="1" t="str">
        <f t="shared" si="23"/>
        <v xml:space="preserve">  { "Upper DB 8" },  // #11 </v>
      </c>
      <c r="K13" s="18" t="str">
        <f t="shared" si="24"/>
        <v xml:space="preserve">  0, // #11 = Upper DB 8</v>
      </c>
      <c r="L13" s="18" t="str">
        <f t="shared" si="25"/>
        <v xml:space="preserve">  127, // #11 = Upper DB 8</v>
      </c>
      <c r="M13" s="18" t="str">
        <f t="shared" si="26"/>
        <v xml:space="preserve">  0, // #11 = Upper DB 8</v>
      </c>
      <c r="N13" s="18" t="str">
        <f t="shared" si="8"/>
        <v xml:space="preserve">  ac_upper_db, // Upper DB 8</v>
      </c>
      <c r="O13" s="18" t="str">
        <f t="shared" si="5"/>
        <v xml:space="preserve">  127, // #11 = Upper DB 8</v>
      </c>
      <c r="P13" s="13"/>
    </row>
    <row r="14" spans="1:16" s="14" customFormat="1" x14ac:dyDescent="0.25">
      <c r="A14" s="2">
        <f t="shared" si="6"/>
        <v>12</v>
      </c>
      <c r="B14" s="29" t="s">
        <v>178</v>
      </c>
      <c r="C14" s="1">
        <v>0</v>
      </c>
      <c r="D14" s="12">
        <v>0</v>
      </c>
      <c r="E14" s="12">
        <v>127</v>
      </c>
      <c r="F14" s="12">
        <v>50</v>
      </c>
      <c r="G14" s="12" t="str">
        <f t="shared" si="21"/>
        <v>m_upper_db_4</v>
      </c>
      <c r="H14" s="12" t="s">
        <v>201</v>
      </c>
      <c r="I14" s="18" t="str">
        <f t="shared" si="22"/>
        <v xml:space="preserve">  m_upper_db_4, // #12 = Upper DB 4</v>
      </c>
      <c r="J14" s="1" t="str">
        <f t="shared" si="23"/>
        <v xml:space="preserve">  { "Upper DB 4" },  // #12 </v>
      </c>
      <c r="K14" s="18" t="str">
        <f t="shared" si="24"/>
        <v xml:space="preserve">  0, // #12 = Upper DB 4</v>
      </c>
      <c r="L14" s="18" t="str">
        <f t="shared" si="25"/>
        <v xml:space="preserve">  127, // #12 = Upper DB 4</v>
      </c>
      <c r="M14" s="18" t="str">
        <f t="shared" si="26"/>
        <v xml:space="preserve">  0, // #12 = Upper DB 4</v>
      </c>
      <c r="N14" s="18" t="str">
        <f t="shared" si="8"/>
        <v xml:space="preserve">  ac_upper_db, // Upper DB 4</v>
      </c>
      <c r="O14" s="18" t="str">
        <f t="shared" si="5"/>
        <v xml:space="preserve">  50, // #12 = Upper DB 4</v>
      </c>
      <c r="P14" s="13"/>
    </row>
    <row r="15" spans="1:16" x14ac:dyDescent="0.25">
      <c r="A15" s="2">
        <f t="shared" si="6"/>
        <v>13</v>
      </c>
      <c r="B15" s="29" t="s">
        <v>179</v>
      </c>
      <c r="C15" s="1">
        <v>0</v>
      </c>
      <c r="D15" s="12">
        <v>0</v>
      </c>
      <c r="E15" s="12">
        <v>127</v>
      </c>
      <c r="F15" s="12">
        <v>0</v>
      </c>
      <c r="G15" s="12" t="str">
        <f t="shared" si="21"/>
        <v>m_upper_db_2_23</v>
      </c>
      <c r="H15" s="12" t="s">
        <v>201</v>
      </c>
      <c r="I15" s="18" t="str">
        <f t="shared" si="22"/>
        <v xml:space="preserve">  m_upper_db_2_23, // #13 = Upper DB 2 2/3</v>
      </c>
      <c r="J15" s="1" t="str">
        <f t="shared" si="23"/>
        <v xml:space="preserve">  { "Upper DB 2 2/3" },  // #13 </v>
      </c>
      <c r="K15" s="18" t="str">
        <f t="shared" si="24"/>
        <v xml:space="preserve">  0, // #13 = Upper DB 2 2/3</v>
      </c>
      <c r="L15" s="18" t="str">
        <f t="shared" si="25"/>
        <v xml:space="preserve">  127, // #13 = Upper DB 2 2/3</v>
      </c>
      <c r="M15" s="18" t="str">
        <f t="shared" si="26"/>
        <v xml:space="preserve">  0, // #13 = Upper DB 2 2/3</v>
      </c>
      <c r="N15" s="18" t="str">
        <f t="shared" si="8"/>
        <v xml:space="preserve">  ac_upper_db, // Upper DB 2 2/3</v>
      </c>
      <c r="O15" s="18" t="str">
        <f t="shared" si="5"/>
        <v xml:space="preserve">  0, // #13 = Upper DB 2 2/3</v>
      </c>
      <c r="P15" s="13"/>
    </row>
    <row r="16" spans="1:16" x14ac:dyDescent="0.25">
      <c r="A16" s="2">
        <f t="shared" si="6"/>
        <v>14</v>
      </c>
      <c r="B16" s="29" t="s">
        <v>180</v>
      </c>
      <c r="C16" s="1">
        <v>0</v>
      </c>
      <c r="D16" s="12">
        <v>0</v>
      </c>
      <c r="E16" s="12">
        <v>127</v>
      </c>
      <c r="F16" s="12">
        <v>0</v>
      </c>
      <c r="G16" s="12" t="str">
        <f t="shared" si="21"/>
        <v>m_upper_db_2</v>
      </c>
      <c r="H16" s="12" t="s">
        <v>201</v>
      </c>
      <c r="I16" s="18" t="str">
        <f t="shared" si="22"/>
        <v xml:space="preserve">  m_upper_db_2, // #14 = Upper DB 2</v>
      </c>
      <c r="J16" s="1" t="str">
        <f t="shared" si="23"/>
        <v xml:space="preserve">  { "Upper DB 2" },  // #14 </v>
      </c>
      <c r="K16" s="18" t="str">
        <f t="shared" si="24"/>
        <v xml:space="preserve">  0, // #14 = Upper DB 2</v>
      </c>
      <c r="L16" s="18" t="str">
        <f t="shared" si="25"/>
        <v xml:space="preserve">  127, // #14 = Upper DB 2</v>
      </c>
      <c r="M16" s="18" t="str">
        <f t="shared" si="26"/>
        <v xml:space="preserve">  0, // #14 = Upper DB 2</v>
      </c>
      <c r="N16" s="18" t="str">
        <f t="shared" si="8"/>
        <v xml:space="preserve">  ac_upper_db, // Upper DB 2</v>
      </c>
      <c r="O16" s="18" t="str">
        <f t="shared" si="5"/>
        <v xml:space="preserve">  0, // #14 = Upper DB 2</v>
      </c>
      <c r="P16" s="13"/>
    </row>
    <row r="17" spans="1:16" x14ac:dyDescent="0.25">
      <c r="A17" s="2">
        <f t="shared" si="6"/>
        <v>15</v>
      </c>
      <c r="B17" s="29" t="s">
        <v>181</v>
      </c>
      <c r="C17" s="1">
        <v>0</v>
      </c>
      <c r="D17" s="12">
        <v>0</v>
      </c>
      <c r="E17" s="12">
        <v>127</v>
      </c>
      <c r="F17" s="12">
        <v>0</v>
      </c>
      <c r="G17" s="12" t="str">
        <f t="shared" si="21"/>
        <v>m_upper_db_1_35</v>
      </c>
      <c r="H17" s="12" t="s">
        <v>201</v>
      </c>
      <c r="I17" s="18" t="str">
        <f t="shared" si="22"/>
        <v xml:space="preserve">  m_upper_db_1_35, // #15 = Upper DB 1 3/5</v>
      </c>
      <c r="J17" s="1" t="str">
        <f t="shared" si="23"/>
        <v xml:space="preserve">  { "Upper DB 1 3/5" },  // #15 </v>
      </c>
      <c r="K17" s="18" t="str">
        <f t="shared" si="24"/>
        <v xml:space="preserve">  0, // #15 = Upper DB 1 3/5</v>
      </c>
      <c r="L17" s="18" t="str">
        <f t="shared" si="25"/>
        <v xml:space="preserve">  127, // #15 = Upper DB 1 3/5</v>
      </c>
      <c r="M17" s="18" t="str">
        <f t="shared" si="26"/>
        <v xml:space="preserve">  0, // #15 = Upper DB 1 3/5</v>
      </c>
      <c r="N17" s="18" t="str">
        <f t="shared" si="8"/>
        <v xml:space="preserve">  ac_upper_db, // Upper DB 1 3/5</v>
      </c>
      <c r="O17" s="18" t="str">
        <f t="shared" si="5"/>
        <v xml:space="preserve">  0, // #15 = Upper DB 1 3/5</v>
      </c>
      <c r="P17" s="13"/>
    </row>
    <row r="18" spans="1:16" x14ac:dyDescent="0.25">
      <c r="A18" s="2">
        <f t="shared" si="6"/>
        <v>16</v>
      </c>
      <c r="B18" s="29" t="s">
        <v>182</v>
      </c>
      <c r="C18" s="1">
        <v>0</v>
      </c>
      <c r="D18" s="12">
        <v>0</v>
      </c>
      <c r="E18" s="12">
        <v>127</v>
      </c>
      <c r="F18" s="12">
        <v>0</v>
      </c>
      <c r="G18" s="12" t="str">
        <f t="shared" si="21"/>
        <v>m_upper_db_1_13</v>
      </c>
      <c r="H18" s="12" t="s">
        <v>201</v>
      </c>
      <c r="I18" s="18" t="str">
        <f t="shared" si="22"/>
        <v xml:space="preserve">  m_upper_db_1_13, // #16 = Upper DB 1 1/3</v>
      </c>
      <c r="J18" s="1" t="str">
        <f t="shared" si="23"/>
        <v xml:space="preserve">  { "Upper DB 1 1/3" },  // #16 </v>
      </c>
      <c r="K18" s="18" t="str">
        <f t="shared" si="24"/>
        <v xml:space="preserve">  0, // #16 = Upper DB 1 1/3</v>
      </c>
      <c r="L18" s="18" t="str">
        <f t="shared" si="25"/>
        <v xml:space="preserve">  127, // #16 = Upper DB 1 1/3</v>
      </c>
      <c r="M18" s="18" t="str">
        <f t="shared" si="26"/>
        <v xml:space="preserve">  0, // #16 = Upper DB 1 1/3</v>
      </c>
      <c r="N18" s="18" t="str">
        <f t="shared" si="8"/>
        <v xml:space="preserve">  ac_upper_db, // Upper DB 1 1/3</v>
      </c>
      <c r="O18" s="18" t="str">
        <f t="shared" si="5"/>
        <v xml:space="preserve">  0, // #16 = Upper DB 1 1/3</v>
      </c>
      <c r="P18" s="13"/>
    </row>
    <row r="19" spans="1:16" s="14" customFormat="1" x14ac:dyDescent="0.25">
      <c r="A19" s="2">
        <f t="shared" si="6"/>
        <v>17</v>
      </c>
      <c r="B19" s="29" t="s">
        <v>183</v>
      </c>
      <c r="C19" s="1">
        <v>0</v>
      </c>
      <c r="D19" s="12">
        <v>0</v>
      </c>
      <c r="E19" s="12">
        <v>127</v>
      </c>
      <c r="F19" s="12">
        <v>0</v>
      </c>
      <c r="G19" s="12" t="str">
        <f t="shared" si="21"/>
        <v>m_upper_db_1</v>
      </c>
      <c r="H19" s="12" t="s">
        <v>201</v>
      </c>
      <c r="I19" s="18" t="str">
        <f t="shared" si="22"/>
        <v xml:space="preserve">  m_upper_db_1, // #17 = Upper DB 1</v>
      </c>
      <c r="J19" s="1" t="str">
        <f t="shared" si="23"/>
        <v xml:space="preserve">  { "Upper DB 1" },  // #17 </v>
      </c>
      <c r="K19" s="18" t="str">
        <f t="shared" si="24"/>
        <v xml:space="preserve">  0, // #17 = Upper DB 1</v>
      </c>
      <c r="L19" s="18" t="str">
        <f t="shared" si="25"/>
        <v xml:space="preserve">  127, // #17 = Upper DB 1</v>
      </c>
      <c r="M19" s="18" t="str">
        <f t="shared" si="26"/>
        <v xml:space="preserve">  0, // #17 = Upper DB 1</v>
      </c>
      <c r="N19" s="18" t="str">
        <f t="shared" si="8"/>
        <v xml:space="preserve">  ac_upper_db, // Upper DB 1</v>
      </c>
      <c r="O19" s="18" t="str">
        <f t="shared" si="5"/>
        <v xml:space="preserve">  0, // #17 = Upper DB 1</v>
      </c>
      <c r="P19" s="13"/>
    </row>
    <row r="20" spans="1:16" x14ac:dyDescent="0.25">
      <c r="A20" s="2">
        <f t="shared" si="6"/>
        <v>18</v>
      </c>
      <c r="B20" s="22" t="s">
        <v>196</v>
      </c>
      <c r="C20" s="22">
        <v>-1</v>
      </c>
      <c r="D20" s="22">
        <v>0</v>
      </c>
      <c r="E20" s="22">
        <v>0</v>
      </c>
      <c r="F20" s="22">
        <v>0</v>
      </c>
      <c r="G20" s="26" t="str">
        <f>CONCATENATE("m_back_",A20)</f>
        <v>m_back_18</v>
      </c>
      <c r="H20" s="12" t="s">
        <v>199</v>
      </c>
      <c r="I20" s="26" t="str">
        <f t="shared" ref="I20:I29" si="27">CONCATENATE("  ",G20,", // #",A20," = ",B20,IF(C20&lt;0," EXIT ",""))</f>
        <v xml:space="preserve">  m_back_18, // #18 = Upper DB EXIT </v>
      </c>
      <c r="J20" s="22" t="str">
        <f t="shared" ref="J20:J29" si="28">CONCATENATE("  { """,B20,""" },  // #",A20," ",IF(C20&lt;0," EXIT SUBM",""))</f>
        <v xml:space="preserve">  { "Upper DB" },  // #18  EXIT SUBM</v>
      </c>
      <c r="K20" s="26" t="str">
        <f t="shared" ref="K20:K29" si="29">CONCATENATE("  ",D20,", // #",A20," = ",B20,IF(C20&lt;0," EXIT ",""))</f>
        <v xml:space="preserve">  0, // #18 = Upper DB EXIT </v>
      </c>
      <c r="L20" s="26" t="str">
        <f t="shared" ref="L20:L29" si="30">CONCATENATE("  ",E20,", // #",A20," = ",B20,IF(C20&lt;0," EXIT ",""))</f>
        <v xml:space="preserve">  0, // #18 = Upper DB EXIT </v>
      </c>
      <c r="M20" s="26" t="str">
        <f t="shared" ref="M20:M29" si="31">CONCATENATE("  ",C20,", // #",A20," = ",B20,IF(C20&lt;0," EXIT ",""))</f>
        <v xml:space="preserve">  -1, // #18 = Upper DB EXIT </v>
      </c>
      <c r="N20" s="18" t="str">
        <f t="shared" si="8"/>
        <v xml:space="preserve">  ac_none, // Upper DB</v>
      </c>
      <c r="O20" s="26" t="str">
        <f t="shared" si="5"/>
        <v xml:space="preserve">  0, // #18 = Upper DB EXIT </v>
      </c>
      <c r="P20" s="13"/>
    </row>
    <row r="21" spans="1:16" x14ac:dyDescent="0.25">
      <c r="A21" s="2">
        <f t="shared" si="6"/>
        <v>19</v>
      </c>
      <c r="B21" s="36" t="s">
        <v>184</v>
      </c>
      <c r="C21" s="1">
        <v>0</v>
      </c>
      <c r="D21" s="12">
        <v>0</v>
      </c>
      <c r="E21" s="12">
        <v>127</v>
      </c>
      <c r="F21" s="12">
        <v>0</v>
      </c>
      <c r="G21" s="12" t="str">
        <f>CONCATENATE("m_",LOWER(SUBSTITUTE(SUBSTITUTE(B21,"/","")," ","_")))</f>
        <v>m_lower_db_16</v>
      </c>
      <c r="H21" s="12" t="s">
        <v>202</v>
      </c>
      <c r="I21" s="18" t="str">
        <f t="shared" si="27"/>
        <v xml:space="preserve">  m_lower_db_16, // #19 = Lower DB 16</v>
      </c>
      <c r="J21" s="1" t="str">
        <f t="shared" si="28"/>
        <v xml:space="preserve">  { "Lower DB 16" },  // #19 </v>
      </c>
      <c r="K21" s="18" t="str">
        <f t="shared" si="29"/>
        <v xml:space="preserve">  0, // #19 = Lower DB 16</v>
      </c>
      <c r="L21" s="18" t="str">
        <f t="shared" si="30"/>
        <v xml:space="preserve">  127, // #19 = Lower DB 16</v>
      </c>
      <c r="M21" s="18" t="str">
        <f t="shared" si="31"/>
        <v xml:space="preserve">  0, // #19 = Lower DB 16</v>
      </c>
      <c r="N21" s="18" t="str">
        <f t="shared" si="8"/>
        <v xml:space="preserve">  ac_lower_db, // Lower DB 16</v>
      </c>
      <c r="O21" s="18" t="str">
        <f t="shared" si="5"/>
        <v xml:space="preserve">  0, // #19 = Lower DB 16</v>
      </c>
      <c r="P21" s="13"/>
    </row>
    <row r="22" spans="1:16" x14ac:dyDescent="0.25">
      <c r="A22" s="2">
        <f t="shared" si="6"/>
        <v>20</v>
      </c>
      <c r="B22" s="30" t="s">
        <v>185</v>
      </c>
      <c r="C22" s="1">
        <v>0</v>
      </c>
      <c r="D22" s="12">
        <v>0</v>
      </c>
      <c r="E22" s="12">
        <v>127</v>
      </c>
      <c r="F22" s="12">
        <v>0</v>
      </c>
      <c r="G22" s="12" t="str">
        <f t="shared" ref="G22:G29" si="32">CONCATENATE("m_",LOWER(SUBSTITUTE(SUBSTITUTE(B22,"/","")," ","_")))</f>
        <v>m_lower_db_5_13</v>
      </c>
      <c r="H22" s="12" t="s">
        <v>202</v>
      </c>
      <c r="I22" s="18" t="str">
        <f t="shared" si="27"/>
        <v xml:space="preserve">  m_lower_db_5_13, // #20 = Lower DB 5 1/3</v>
      </c>
      <c r="J22" s="1" t="str">
        <f t="shared" si="28"/>
        <v xml:space="preserve">  { "Lower DB 5 1/3" },  // #20 </v>
      </c>
      <c r="K22" s="18" t="str">
        <f t="shared" si="29"/>
        <v xml:space="preserve">  0, // #20 = Lower DB 5 1/3</v>
      </c>
      <c r="L22" s="18" t="str">
        <f t="shared" si="30"/>
        <v xml:space="preserve">  127, // #20 = Lower DB 5 1/3</v>
      </c>
      <c r="M22" s="18" t="str">
        <f t="shared" si="31"/>
        <v xml:space="preserve">  0, // #20 = Lower DB 5 1/3</v>
      </c>
      <c r="N22" s="18" t="str">
        <f t="shared" si="8"/>
        <v xml:space="preserve">  ac_lower_db, // Lower DB 5 1/3</v>
      </c>
      <c r="O22" s="18" t="str">
        <f t="shared" si="5"/>
        <v xml:space="preserve">  0, // #20 = Lower DB 5 1/3</v>
      </c>
      <c r="P22" s="13"/>
    </row>
    <row r="23" spans="1:16" x14ac:dyDescent="0.25">
      <c r="A23" s="2">
        <f t="shared" si="6"/>
        <v>21</v>
      </c>
      <c r="B23" s="30" t="s">
        <v>186</v>
      </c>
      <c r="C23" s="1">
        <v>0</v>
      </c>
      <c r="D23" s="12">
        <v>0</v>
      </c>
      <c r="E23" s="12">
        <v>127</v>
      </c>
      <c r="F23" s="12">
        <v>127</v>
      </c>
      <c r="G23" s="12" t="str">
        <f t="shared" si="32"/>
        <v>m_lower_db_8</v>
      </c>
      <c r="H23" s="12" t="s">
        <v>202</v>
      </c>
      <c r="I23" s="18" t="str">
        <f t="shared" si="27"/>
        <v xml:space="preserve">  m_lower_db_8, // #21 = Lower DB 8</v>
      </c>
      <c r="J23" s="1" t="str">
        <f t="shared" si="28"/>
        <v xml:space="preserve">  { "Lower DB 8" },  // #21 </v>
      </c>
      <c r="K23" s="18" t="str">
        <f t="shared" si="29"/>
        <v xml:space="preserve">  0, // #21 = Lower DB 8</v>
      </c>
      <c r="L23" s="18" t="str">
        <f t="shared" si="30"/>
        <v xml:space="preserve">  127, // #21 = Lower DB 8</v>
      </c>
      <c r="M23" s="18" t="str">
        <f t="shared" si="31"/>
        <v xml:space="preserve">  0, // #21 = Lower DB 8</v>
      </c>
      <c r="N23" s="18" t="str">
        <f t="shared" si="8"/>
        <v xml:space="preserve">  ac_lower_db, // Lower DB 8</v>
      </c>
      <c r="O23" s="18" t="str">
        <f t="shared" si="5"/>
        <v xml:space="preserve">  127, // #21 = Lower DB 8</v>
      </c>
    </row>
    <row r="24" spans="1:16" x14ac:dyDescent="0.25">
      <c r="A24" s="2">
        <f t="shared" si="6"/>
        <v>22</v>
      </c>
      <c r="B24" s="30" t="s">
        <v>187</v>
      </c>
      <c r="C24" s="1">
        <v>0</v>
      </c>
      <c r="D24" s="12">
        <v>0</v>
      </c>
      <c r="E24" s="12">
        <v>127</v>
      </c>
      <c r="F24" s="12">
        <v>127</v>
      </c>
      <c r="G24" s="12" t="str">
        <f t="shared" si="32"/>
        <v>m_lower_db_4</v>
      </c>
      <c r="H24" s="12" t="s">
        <v>202</v>
      </c>
      <c r="I24" s="18" t="str">
        <f t="shared" si="27"/>
        <v xml:space="preserve">  m_lower_db_4, // #22 = Lower DB 4</v>
      </c>
      <c r="J24" s="1" t="str">
        <f t="shared" si="28"/>
        <v xml:space="preserve">  { "Lower DB 4" },  // #22 </v>
      </c>
      <c r="K24" s="18" t="str">
        <f t="shared" si="29"/>
        <v xml:space="preserve">  0, // #22 = Lower DB 4</v>
      </c>
      <c r="L24" s="18" t="str">
        <f t="shared" si="30"/>
        <v xml:space="preserve">  127, // #22 = Lower DB 4</v>
      </c>
      <c r="M24" s="18" t="str">
        <f t="shared" si="31"/>
        <v xml:space="preserve">  0, // #22 = Lower DB 4</v>
      </c>
      <c r="N24" s="18" t="str">
        <f t="shared" si="8"/>
        <v xml:space="preserve">  ac_lower_db, // Lower DB 4</v>
      </c>
      <c r="O24" s="18" t="str">
        <f t="shared" si="5"/>
        <v xml:space="preserve">  127, // #22 = Lower DB 4</v>
      </c>
    </row>
    <row r="25" spans="1:16" x14ac:dyDescent="0.25">
      <c r="A25" s="2">
        <f t="shared" si="6"/>
        <v>23</v>
      </c>
      <c r="B25" s="30" t="s">
        <v>188</v>
      </c>
      <c r="C25" s="1">
        <v>0</v>
      </c>
      <c r="D25" s="12">
        <v>0</v>
      </c>
      <c r="E25" s="12">
        <v>127</v>
      </c>
      <c r="F25" s="12">
        <v>40</v>
      </c>
      <c r="G25" s="12" t="str">
        <f t="shared" si="32"/>
        <v>m_lower_db_2_23</v>
      </c>
      <c r="H25" s="12" t="s">
        <v>202</v>
      </c>
      <c r="I25" s="18" t="str">
        <f t="shared" si="27"/>
        <v xml:space="preserve">  m_lower_db_2_23, // #23 = Lower DB 2 2/3</v>
      </c>
      <c r="J25" s="1" t="str">
        <f t="shared" si="28"/>
        <v xml:space="preserve">  { "Lower DB 2 2/3" },  // #23 </v>
      </c>
      <c r="K25" s="18" t="str">
        <f t="shared" si="29"/>
        <v xml:space="preserve">  0, // #23 = Lower DB 2 2/3</v>
      </c>
      <c r="L25" s="18" t="str">
        <f t="shared" si="30"/>
        <v xml:space="preserve">  127, // #23 = Lower DB 2 2/3</v>
      </c>
      <c r="M25" s="18" t="str">
        <f t="shared" si="31"/>
        <v xml:space="preserve">  0, // #23 = Lower DB 2 2/3</v>
      </c>
      <c r="N25" s="18" t="str">
        <f t="shared" si="8"/>
        <v xml:space="preserve">  ac_lower_db, // Lower DB 2 2/3</v>
      </c>
      <c r="O25" s="18" t="str">
        <f t="shared" si="5"/>
        <v xml:space="preserve">  40, // #23 = Lower DB 2 2/3</v>
      </c>
    </row>
    <row r="26" spans="1:16" x14ac:dyDescent="0.25">
      <c r="A26" s="2">
        <f t="shared" si="6"/>
        <v>24</v>
      </c>
      <c r="B26" s="30" t="s">
        <v>189</v>
      </c>
      <c r="C26" s="1">
        <v>0</v>
      </c>
      <c r="D26" s="12">
        <v>0</v>
      </c>
      <c r="E26" s="12">
        <v>127</v>
      </c>
      <c r="F26" s="12">
        <v>0</v>
      </c>
      <c r="G26" s="12" t="str">
        <f t="shared" si="32"/>
        <v>m_lower_db_2</v>
      </c>
      <c r="H26" s="12" t="s">
        <v>202</v>
      </c>
      <c r="I26" s="18" t="str">
        <f t="shared" si="27"/>
        <v xml:space="preserve">  m_lower_db_2, // #24 = Lower DB 2</v>
      </c>
      <c r="J26" s="1" t="str">
        <f t="shared" si="28"/>
        <v xml:space="preserve">  { "Lower DB 2" },  // #24 </v>
      </c>
      <c r="K26" s="18" t="str">
        <f t="shared" si="29"/>
        <v xml:space="preserve">  0, // #24 = Lower DB 2</v>
      </c>
      <c r="L26" s="18" t="str">
        <f t="shared" si="30"/>
        <v xml:space="preserve">  127, // #24 = Lower DB 2</v>
      </c>
      <c r="M26" s="18" t="str">
        <f t="shared" si="31"/>
        <v xml:space="preserve">  0, // #24 = Lower DB 2</v>
      </c>
      <c r="N26" s="18" t="str">
        <f t="shared" si="8"/>
        <v xml:space="preserve">  ac_lower_db, // Lower DB 2</v>
      </c>
      <c r="O26" s="18" t="str">
        <f t="shared" si="5"/>
        <v xml:space="preserve">  0, // #24 = Lower DB 2</v>
      </c>
    </row>
    <row r="27" spans="1:16" x14ac:dyDescent="0.25">
      <c r="A27" s="2">
        <f t="shared" si="6"/>
        <v>25</v>
      </c>
      <c r="B27" s="30" t="s">
        <v>190</v>
      </c>
      <c r="C27" s="1">
        <v>0</v>
      </c>
      <c r="D27" s="12">
        <v>0</v>
      </c>
      <c r="E27" s="12">
        <v>127</v>
      </c>
      <c r="F27" s="12">
        <v>0</v>
      </c>
      <c r="G27" s="12" t="str">
        <f t="shared" si="32"/>
        <v>m_lower_db_1_35</v>
      </c>
      <c r="H27" s="12" t="s">
        <v>202</v>
      </c>
      <c r="I27" s="18" t="str">
        <f t="shared" si="27"/>
        <v xml:space="preserve">  m_lower_db_1_35, // #25 = Lower DB 1 3/5</v>
      </c>
      <c r="J27" s="1" t="str">
        <f t="shared" si="28"/>
        <v xml:space="preserve">  { "Lower DB 1 3/5" },  // #25 </v>
      </c>
      <c r="K27" s="18" t="str">
        <f t="shared" si="29"/>
        <v xml:space="preserve">  0, // #25 = Lower DB 1 3/5</v>
      </c>
      <c r="L27" s="18" t="str">
        <f t="shared" si="30"/>
        <v xml:space="preserve">  127, // #25 = Lower DB 1 3/5</v>
      </c>
      <c r="M27" s="18" t="str">
        <f t="shared" si="31"/>
        <v xml:space="preserve">  0, // #25 = Lower DB 1 3/5</v>
      </c>
      <c r="N27" s="18" t="str">
        <f t="shared" si="8"/>
        <v xml:space="preserve">  ac_lower_db, // Lower DB 1 3/5</v>
      </c>
      <c r="O27" s="18" t="str">
        <f t="shared" si="5"/>
        <v xml:space="preserve">  0, // #25 = Lower DB 1 3/5</v>
      </c>
    </row>
    <row r="28" spans="1:16" x14ac:dyDescent="0.25">
      <c r="A28" s="2">
        <f t="shared" si="6"/>
        <v>26</v>
      </c>
      <c r="B28" s="30" t="s">
        <v>191</v>
      </c>
      <c r="C28" s="1">
        <v>0</v>
      </c>
      <c r="D28" s="12">
        <v>0</v>
      </c>
      <c r="E28" s="12">
        <v>127</v>
      </c>
      <c r="F28" s="12">
        <v>0</v>
      </c>
      <c r="G28" s="12" t="str">
        <f t="shared" si="32"/>
        <v>m_lower_db_1_13</v>
      </c>
      <c r="H28" s="12" t="s">
        <v>202</v>
      </c>
      <c r="I28" s="18" t="str">
        <f t="shared" si="27"/>
        <v xml:space="preserve">  m_lower_db_1_13, // #26 = Lower DB 1 1/3</v>
      </c>
      <c r="J28" s="1" t="str">
        <f t="shared" si="28"/>
        <v xml:space="preserve">  { "Lower DB 1 1/3" },  // #26 </v>
      </c>
      <c r="K28" s="18" t="str">
        <f t="shared" si="29"/>
        <v xml:space="preserve">  0, // #26 = Lower DB 1 1/3</v>
      </c>
      <c r="L28" s="18" t="str">
        <f t="shared" si="30"/>
        <v xml:space="preserve">  127, // #26 = Lower DB 1 1/3</v>
      </c>
      <c r="M28" s="18" t="str">
        <f t="shared" si="31"/>
        <v xml:space="preserve">  0, // #26 = Lower DB 1 1/3</v>
      </c>
      <c r="N28" s="18" t="str">
        <f t="shared" si="8"/>
        <v xml:space="preserve">  ac_lower_db, // Lower DB 1 1/3</v>
      </c>
      <c r="O28" s="18" t="str">
        <f t="shared" si="5"/>
        <v xml:space="preserve">  0, // #26 = Lower DB 1 1/3</v>
      </c>
    </row>
    <row r="29" spans="1:16" x14ac:dyDescent="0.25">
      <c r="A29" s="2">
        <f t="shared" si="6"/>
        <v>27</v>
      </c>
      <c r="B29" s="30" t="s">
        <v>192</v>
      </c>
      <c r="C29" s="1">
        <v>0</v>
      </c>
      <c r="D29" s="12">
        <v>0</v>
      </c>
      <c r="E29" s="12">
        <v>127</v>
      </c>
      <c r="F29" s="12">
        <v>0</v>
      </c>
      <c r="G29" s="12" t="str">
        <f t="shared" si="32"/>
        <v>m_lower_db_1</v>
      </c>
      <c r="H29" s="12" t="s">
        <v>202</v>
      </c>
      <c r="I29" s="18" t="str">
        <f t="shared" si="27"/>
        <v xml:space="preserve">  m_lower_db_1, // #27 = Lower DB 1</v>
      </c>
      <c r="J29" s="1" t="str">
        <f t="shared" si="28"/>
        <v xml:space="preserve">  { "Lower DB 1" },  // #27 </v>
      </c>
      <c r="K29" s="18" t="str">
        <f t="shared" si="29"/>
        <v xml:space="preserve">  0, // #27 = Lower DB 1</v>
      </c>
      <c r="L29" s="18" t="str">
        <f t="shared" si="30"/>
        <v xml:space="preserve">  127, // #27 = Lower DB 1</v>
      </c>
      <c r="M29" s="18" t="str">
        <f t="shared" si="31"/>
        <v xml:space="preserve">  0, // #27 = Lower DB 1</v>
      </c>
      <c r="N29" s="18" t="str">
        <f t="shared" si="8"/>
        <v xml:space="preserve">  ac_lower_db, // Lower DB 1</v>
      </c>
      <c r="O29" s="18" t="str">
        <f t="shared" si="5"/>
        <v xml:space="preserve">  0, // #27 = Lower DB 1</v>
      </c>
    </row>
    <row r="30" spans="1:16" x14ac:dyDescent="0.25">
      <c r="A30" s="2">
        <f t="shared" si="6"/>
        <v>28</v>
      </c>
      <c r="B30" s="22" t="s">
        <v>197</v>
      </c>
      <c r="C30" s="22">
        <v>-1</v>
      </c>
      <c r="D30" s="22">
        <v>0</v>
      </c>
      <c r="E30" s="22">
        <v>0</v>
      </c>
      <c r="F30" s="22">
        <v>0</v>
      </c>
      <c r="G30" s="26" t="str">
        <f>CONCATENATE("m_back_",A30)</f>
        <v>m_back_28</v>
      </c>
      <c r="H30" s="12" t="s">
        <v>199</v>
      </c>
      <c r="I30" s="26" t="str">
        <f t="shared" ref="I30:I32" si="33">CONCATENATE("  ",G30,", // #",A30," = ",B30,IF(C30&lt;0," EXIT ",""))</f>
        <v xml:space="preserve">  m_back_28, // #28 = Lower DB EXIT </v>
      </c>
      <c r="J30" s="22" t="str">
        <f t="shared" ref="J30:J32" si="34">CONCATENATE("  { """,B30,""" },  // #",A30," ",IF(C30&lt;0," EXIT SUBM",""))</f>
        <v xml:space="preserve">  { "Lower DB" },  // #28  EXIT SUBM</v>
      </c>
      <c r="K30" s="26" t="str">
        <f t="shared" ref="K30:K32" si="35">CONCATENATE("  ",D30,", // #",A30," = ",B30,IF(C30&lt;0," EXIT ",""))</f>
        <v xml:space="preserve">  0, // #28 = Lower DB EXIT </v>
      </c>
      <c r="L30" s="26" t="str">
        <f t="shared" ref="L30:L32" si="36">CONCATENATE("  ",E30,", // #",A30," = ",B30,IF(C30&lt;0," EXIT ",""))</f>
        <v xml:space="preserve">  0, // #28 = Lower DB EXIT </v>
      </c>
      <c r="M30" s="26" t="str">
        <f t="shared" ref="M30:M32" si="37">CONCATENATE("  ",C30,", // #",A30," = ",B30,IF(C30&lt;0," EXIT ",""))</f>
        <v xml:space="preserve">  -1, // #28 = Lower DB EXIT </v>
      </c>
      <c r="N30" s="18" t="str">
        <f t="shared" si="8"/>
        <v xml:space="preserve">  ac_none, // Lower DB</v>
      </c>
      <c r="O30" s="26" t="str">
        <f t="shared" si="5"/>
        <v xml:space="preserve">  0, // #28 = Lower DB EXIT </v>
      </c>
    </row>
    <row r="31" spans="1:16" x14ac:dyDescent="0.25">
      <c r="A31" s="2">
        <f t="shared" si="6"/>
        <v>29</v>
      </c>
      <c r="B31" s="37" t="s">
        <v>193</v>
      </c>
      <c r="C31" s="1">
        <v>0</v>
      </c>
      <c r="D31" s="12">
        <v>0</v>
      </c>
      <c r="E31" s="12">
        <v>127</v>
      </c>
      <c r="F31" s="12">
        <v>127</v>
      </c>
      <c r="G31" s="12" t="str">
        <f>CONCATENATE("m_",LOWER(SUBSTITUTE(SUBSTITUTE(B31,"/","")," ","_")))</f>
        <v>m_pedal_db_16</v>
      </c>
      <c r="H31" s="12" t="s">
        <v>203</v>
      </c>
      <c r="I31" s="18" t="str">
        <f t="shared" si="33"/>
        <v xml:space="preserve">  m_pedal_db_16, // #29 = Pedal DB 16</v>
      </c>
      <c r="J31" s="1" t="str">
        <f t="shared" si="34"/>
        <v xml:space="preserve">  { "Pedal DB 16" },  // #29 </v>
      </c>
      <c r="K31" s="18" t="str">
        <f t="shared" si="35"/>
        <v xml:space="preserve">  0, // #29 = Pedal DB 16</v>
      </c>
      <c r="L31" s="18" t="str">
        <f t="shared" si="36"/>
        <v xml:space="preserve">  127, // #29 = Pedal DB 16</v>
      </c>
      <c r="M31" s="18" t="str">
        <f t="shared" si="37"/>
        <v xml:space="preserve">  0, // #29 = Pedal DB 16</v>
      </c>
      <c r="N31" s="18" t="str">
        <f t="shared" si="8"/>
        <v xml:space="preserve">  ac_pedal_db, // Pedal DB 16</v>
      </c>
      <c r="O31" s="18" t="str">
        <f t="shared" si="5"/>
        <v xml:space="preserve">  127, // #29 = Pedal DB 16</v>
      </c>
    </row>
    <row r="32" spans="1:16" x14ac:dyDescent="0.25">
      <c r="A32" s="2">
        <f t="shared" si="6"/>
        <v>30</v>
      </c>
      <c r="B32" s="31" t="s">
        <v>194</v>
      </c>
      <c r="C32" s="1">
        <v>0</v>
      </c>
      <c r="D32" s="12">
        <v>0</v>
      </c>
      <c r="E32" s="12">
        <v>127</v>
      </c>
      <c r="F32" s="12">
        <v>60</v>
      </c>
      <c r="G32" s="12" t="str">
        <f t="shared" ref="G32" si="38">CONCATENATE("m_",LOWER(SUBSTITUTE(SUBSTITUTE(B32,"/","")," ","_")))</f>
        <v>m_pedal_db_8</v>
      </c>
      <c r="H32" s="12" t="s">
        <v>203</v>
      </c>
      <c r="I32" s="18" t="str">
        <f t="shared" si="33"/>
        <v xml:space="preserve">  m_pedal_db_8, // #30 = Pedal DB 8</v>
      </c>
      <c r="J32" s="1" t="str">
        <f t="shared" si="34"/>
        <v xml:space="preserve">  { "Pedal DB 8" },  // #30 </v>
      </c>
      <c r="K32" s="18" t="str">
        <f t="shared" si="35"/>
        <v xml:space="preserve">  0, // #30 = Pedal DB 8</v>
      </c>
      <c r="L32" s="18" t="str">
        <f t="shared" si="36"/>
        <v xml:space="preserve">  127, // #30 = Pedal DB 8</v>
      </c>
      <c r="M32" s="18" t="str">
        <f t="shared" si="37"/>
        <v xml:space="preserve">  0, // #30 = Pedal DB 8</v>
      </c>
      <c r="N32" s="18" t="str">
        <f t="shared" si="8"/>
        <v xml:space="preserve">  ac_pedal_db, // Pedal DB 8</v>
      </c>
      <c r="O32" s="18" t="str">
        <f t="shared" si="5"/>
        <v xml:space="preserve">  60, // #30 = Pedal DB 8</v>
      </c>
      <c r="P32" s="13"/>
    </row>
    <row r="33" spans="1:16" x14ac:dyDescent="0.25">
      <c r="A33" s="2">
        <f t="shared" si="6"/>
        <v>31</v>
      </c>
      <c r="B33" s="22" t="s">
        <v>198</v>
      </c>
      <c r="C33" s="22">
        <v>-1</v>
      </c>
      <c r="D33" s="22">
        <v>0</v>
      </c>
      <c r="E33" s="22">
        <v>0</v>
      </c>
      <c r="F33" s="22">
        <v>0</v>
      </c>
      <c r="G33" s="26" t="str">
        <f>CONCATENATE("m_back_",A33)</f>
        <v>m_back_31</v>
      </c>
      <c r="H33" s="12" t="s">
        <v>199</v>
      </c>
      <c r="I33" s="26" t="str">
        <f t="shared" ref="I33:I34" si="39">CONCATENATE("  ",G33,", // #",A33," = ",B33,IF(C33&lt;0," EXIT ",""))</f>
        <v xml:space="preserve">  m_back_31, // #31 = Pedal DB EXIT </v>
      </c>
      <c r="J33" s="22" t="str">
        <f t="shared" ref="J33:J34" si="40">CONCATENATE("  { """,B33,""" },  // #",A33," ",IF(C33&lt;0," EXIT SUBM",""))</f>
        <v xml:space="preserve">  { "Pedal DB" },  // #31  EXIT SUBM</v>
      </c>
      <c r="K33" s="26" t="str">
        <f t="shared" ref="K33:K34" si="41">CONCATENATE("  ",D33,", // #",A33," = ",B33,IF(C33&lt;0," EXIT ",""))</f>
        <v xml:space="preserve">  0, // #31 = Pedal DB EXIT </v>
      </c>
      <c r="L33" s="26" t="str">
        <f t="shared" ref="L33:L34" si="42">CONCATENATE("  ",E33,", // #",A33," = ",B33,IF(C33&lt;0," EXIT ",""))</f>
        <v xml:space="preserve">  0, // #31 = Pedal DB EXIT </v>
      </c>
      <c r="M33" s="26" t="str">
        <f t="shared" ref="M33:M34" si="43">CONCATENATE("  ",C33,", // #",A33," = ",B33,IF(C33&lt;0," EXIT ",""))</f>
        <v xml:space="preserve">  -1, // #31 = Pedal DB EXIT </v>
      </c>
      <c r="N33" s="18" t="str">
        <f t="shared" si="8"/>
        <v xml:space="preserve">  ac_none, // Pedal DB</v>
      </c>
      <c r="O33" s="26" t="str">
        <f t="shared" si="5"/>
        <v xml:space="preserve">  0, // #31 = Pedal DB EXIT </v>
      </c>
      <c r="P33" s="13"/>
    </row>
    <row r="34" spans="1:16" x14ac:dyDescent="0.25">
      <c r="A34" s="2">
        <f t="shared" si="6"/>
        <v>32</v>
      </c>
      <c r="B34" s="38" t="s">
        <v>208</v>
      </c>
      <c r="C34" s="1">
        <v>0</v>
      </c>
      <c r="D34" s="12">
        <v>0</v>
      </c>
      <c r="E34" s="12">
        <v>0</v>
      </c>
      <c r="F34" s="12">
        <v>0</v>
      </c>
      <c r="G34" s="12" t="str">
        <f>CONCATENATE("m_",LOWER(SUBSTITUTE(SUBSTITUTE(B34,"/","")," ","_")))</f>
        <v>m_sd_card_init</v>
      </c>
      <c r="H34" s="12" t="str">
        <f>CONCATENATE("ac_",LOWER(SUBSTITUTE(SUBSTITUTE(B34,"/","")," ","_")))</f>
        <v>ac_sd_card_init</v>
      </c>
      <c r="I34" s="18" t="str">
        <f t="shared" si="39"/>
        <v xml:space="preserve">  m_sd_card_init, // #32 = SD Card Init</v>
      </c>
      <c r="J34" s="1" t="str">
        <f t="shared" si="40"/>
        <v xml:space="preserve">  { "SD Card Init" },  // #32 </v>
      </c>
      <c r="K34" s="18" t="str">
        <f t="shared" si="41"/>
        <v xml:space="preserve">  0, // #32 = SD Card Init</v>
      </c>
      <c r="L34" s="18" t="str">
        <f t="shared" si="42"/>
        <v xml:space="preserve">  0, // #32 = SD Card Init</v>
      </c>
      <c r="M34" s="18" t="str">
        <f t="shared" si="43"/>
        <v xml:space="preserve">  0, // #32 = SD Card Init</v>
      </c>
      <c r="N34" s="18" t="str">
        <f t="shared" si="8"/>
        <v xml:space="preserve">  ac_sd_card_init, // SD Card Init</v>
      </c>
      <c r="O34" s="18" t="str">
        <f t="shared" si="5"/>
        <v xml:space="preserve">  0, // #32 = SD Card Init</v>
      </c>
    </row>
    <row r="35" spans="1:16" x14ac:dyDescent="0.25">
      <c r="A35" s="2">
        <f t="shared" si="6"/>
        <v>33</v>
      </c>
      <c r="B35" s="38" t="s">
        <v>209</v>
      </c>
      <c r="C35" s="1">
        <v>0</v>
      </c>
      <c r="D35" s="12">
        <v>0</v>
      </c>
      <c r="E35" s="12">
        <v>0</v>
      </c>
      <c r="F35" s="12">
        <v>0</v>
      </c>
      <c r="G35" s="12" t="str">
        <f>CONCATENATE("m_",LOWER(SUBSTITUTE(SUBSTITUTE(B35,"/","")," ","_")))</f>
        <v>m_load_sd_scan</v>
      </c>
      <c r="H35" s="12" t="str">
        <f t="shared" ref="H35:H40" si="44">CONCATENATE("ac_",LOWER(SUBSTITUTE(SUBSTITUTE(B35,"/","")," ","_")))</f>
        <v>ac_load_sd_scan</v>
      </c>
      <c r="I35" s="18" t="str">
        <f t="shared" ref="I35" si="45">CONCATENATE("  ",G35,", // #",A35," = ",B35,IF(C35&lt;0," EXIT ",""))</f>
        <v xml:space="preserve">  m_load_sd_scan, // #33 = Load SD Scan</v>
      </c>
      <c r="J35" s="1" t="str">
        <f t="shared" ref="J35" si="46">CONCATENATE("  { """,B35,""" },  // #",A35," ",IF(C35&lt;0," EXIT SUBM",""))</f>
        <v xml:space="preserve">  { "Load SD Scan" },  // #33 </v>
      </c>
      <c r="K35" s="18" t="str">
        <f t="shared" ref="K35" si="47">CONCATENATE("  ",D35,", // #",A35," = ",B35,IF(C35&lt;0," EXIT ",""))</f>
        <v xml:space="preserve">  0, // #33 = Load SD Scan</v>
      </c>
      <c r="L35" s="18" t="str">
        <f t="shared" ref="L35" si="48">CONCATENATE("  ",E35,", // #",A35," = ",B35,IF(C35&lt;0," EXIT ",""))</f>
        <v xml:space="preserve">  0, // #33 = Load SD Scan</v>
      </c>
      <c r="M35" s="18" t="str">
        <f t="shared" ref="M35" si="49">CONCATENATE("  ",C35,", // #",A35," = ",B35,IF(C35&lt;0," EXIT ",""))</f>
        <v xml:space="preserve">  0, // #33 = Load SD Scan</v>
      </c>
      <c r="N35" s="18" t="str">
        <f t="shared" ref="N35" si="50">CONCATENATE("  ",H35,", // ",B35)</f>
        <v xml:space="preserve">  ac_load_sd_scan, // Load SD Scan</v>
      </c>
      <c r="O35" s="18" t="str">
        <f t="shared" ref="O35" si="51">CONCATENATE("  ",F35,", // #",A35," = ",B35,IF(C35&lt;0," EXIT ",""))</f>
        <v xml:space="preserve">  0, // #33 = Load SD Scan</v>
      </c>
    </row>
    <row r="36" spans="1:16" x14ac:dyDescent="0.25">
      <c r="A36" s="2">
        <f t="shared" si="6"/>
        <v>34</v>
      </c>
      <c r="B36" s="38" t="s">
        <v>210</v>
      </c>
      <c r="C36" s="1">
        <v>0</v>
      </c>
      <c r="D36" s="12">
        <v>0</v>
      </c>
      <c r="E36" s="12">
        <v>0</v>
      </c>
      <c r="F36" s="12">
        <v>0</v>
      </c>
      <c r="G36" s="12" t="str">
        <f t="shared" ref="G36:G40" si="52">CONCATENATE("m_",LOWER(SUBSTITUTE(SUBSTITUTE(B36,"/","")," ","_")))</f>
        <v>m_flash_sd_scan</v>
      </c>
      <c r="H36" s="12" t="str">
        <f t="shared" si="44"/>
        <v>ac_flash_sd_scan</v>
      </c>
      <c r="I36" s="18" t="str">
        <f t="shared" ref="I36:I40" si="53">CONCATENATE("  ",G36,", // #",A36," = ",B36,IF(C36&lt;0," EXIT ",""))</f>
        <v xml:space="preserve">  m_flash_sd_scan, // #34 = Flash SD Scan</v>
      </c>
      <c r="J36" s="1" t="str">
        <f t="shared" ref="J36:J40" si="54">CONCATENATE("  { """,B36,""" },  // #",A36," ",IF(C36&lt;0," EXIT SUBM",""))</f>
        <v xml:space="preserve">  { "Flash SD Scan" },  // #34 </v>
      </c>
      <c r="K36" s="18" t="str">
        <f t="shared" ref="K36:K40" si="55">CONCATENATE("  ",D36,", // #",A36," = ",B36,IF(C36&lt;0," EXIT ",""))</f>
        <v xml:space="preserve">  0, // #34 = Flash SD Scan</v>
      </c>
      <c r="L36" s="18" t="str">
        <f t="shared" ref="L36:L40" si="56">CONCATENATE("  ",E36,", // #",A36," = ",B36,IF(C36&lt;0," EXIT ",""))</f>
        <v xml:space="preserve">  0, // #34 = Flash SD Scan</v>
      </c>
      <c r="M36" s="18" t="str">
        <f t="shared" ref="M36:M40" si="57">CONCATENATE("  ",C36,", // #",A36," = ",B36,IF(C36&lt;0," EXIT ",""))</f>
        <v xml:space="preserve">  0, // #34 = Flash SD Scan</v>
      </c>
      <c r="N36" s="18" t="str">
        <f t="shared" ref="N36:N40" si="58">CONCATENATE("  ",H36,", // ",B36)</f>
        <v xml:space="preserve">  ac_flash_sd_scan, // Flash SD Scan</v>
      </c>
      <c r="O36" s="18" t="str">
        <f t="shared" ref="O36:O40" si="59">CONCATENATE("  ",F36,", // #",A36," = ",B36,IF(C36&lt;0," EXIT ",""))</f>
        <v xml:space="preserve">  0, // #34 = Flash SD Scan</v>
      </c>
      <c r="P36" s="13"/>
    </row>
    <row r="37" spans="1:16" x14ac:dyDescent="0.25">
      <c r="A37" s="2">
        <f t="shared" si="6"/>
        <v>35</v>
      </c>
      <c r="B37" s="38" t="s">
        <v>211</v>
      </c>
      <c r="C37" s="1">
        <v>0</v>
      </c>
      <c r="D37" s="12">
        <v>0</v>
      </c>
      <c r="E37" s="12">
        <v>0</v>
      </c>
      <c r="F37" s="12">
        <v>0</v>
      </c>
      <c r="G37" s="12" t="str">
        <f t="shared" si="52"/>
        <v>m_flash_fpga</v>
      </c>
      <c r="H37" s="12" t="str">
        <f t="shared" si="44"/>
        <v>ac_flash_fpga</v>
      </c>
      <c r="I37" s="18" t="str">
        <f t="shared" si="53"/>
        <v xml:space="preserve">  m_flash_fpga, // #35 = Flash FPGA</v>
      </c>
      <c r="J37" s="1" t="str">
        <f t="shared" si="54"/>
        <v xml:space="preserve">  { "Flash FPGA" },  // #35 </v>
      </c>
      <c r="K37" s="18" t="str">
        <f t="shared" si="55"/>
        <v xml:space="preserve">  0, // #35 = Flash FPGA</v>
      </c>
      <c r="L37" s="18" t="str">
        <f t="shared" si="56"/>
        <v xml:space="preserve">  0, // #35 = Flash FPGA</v>
      </c>
      <c r="M37" s="18" t="str">
        <f t="shared" si="57"/>
        <v xml:space="preserve">  0, // #35 = Flash FPGA</v>
      </c>
      <c r="N37" s="18" t="str">
        <f t="shared" si="58"/>
        <v xml:space="preserve">  ac_flash_fpga, // Flash FPGA</v>
      </c>
      <c r="O37" s="18" t="str">
        <f t="shared" si="59"/>
        <v xml:space="preserve">  0, // #35 = Flash FPGA</v>
      </c>
      <c r="P37" s="13"/>
    </row>
    <row r="38" spans="1:16" x14ac:dyDescent="0.25">
      <c r="A38" s="2">
        <f t="shared" si="6"/>
        <v>36</v>
      </c>
      <c r="B38" s="38" t="s">
        <v>214</v>
      </c>
      <c r="C38" s="1">
        <v>0</v>
      </c>
      <c r="D38" s="12">
        <v>0</v>
      </c>
      <c r="E38" s="12">
        <v>0</v>
      </c>
      <c r="F38" s="12">
        <v>0</v>
      </c>
      <c r="G38" s="12" t="str">
        <f t="shared" si="52"/>
        <v>m_flash_other</v>
      </c>
      <c r="H38" s="12" t="str">
        <f t="shared" si="44"/>
        <v>ac_flash_other</v>
      </c>
      <c r="I38" s="18" t="str">
        <f t="shared" si="53"/>
        <v xml:space="preserve">  m_flash_other, // #36 = Flash Other</v>
      </c>
      <c r="J38" s="1" t="str">
        <f t="shared" si="54"/>
        <v xml:space="preserve">  { "Flash Other" },  // #36 </v>
      </c>
      <c r="K38" s="18" t="str">
        <f t="shared" si="55"/>
        <v xml:space="preserve">  0, // #36 = Flash Other</v>
      </c>
      <c r="L38" s="18" t="str">
        <f t="shared" si="56"/>
        <v xml:space="preserve">  0, // #36 = Flash Other</v>
      </c>
      <c r="M38" s="18" t="str">
        <f t="shared" si="57"/>
        <v xml:space="preserve">  0, // #36 = Flash Other</v>
      </c>
      <c r="N38" s="18" t="str">
        <f t="shared" si="58"/>
        <v xml:space="preserve">  ac_flash_other, // Flash Other</v>
      </c>
      <c r="O38" s="18" t="str">
        <f t="shared" si="59"/>
        <v xml:space="preserve">  0, // #36 = Flash Other</v>
      </c>
      <c r="P38" s="13"/>
    </row>
    <row r="39" spans="1:16" x14ac:dyDescent="0.25">
      <c r="A39" s="2">
        <f t="shared" si="6"/>
        <v>37</v>
      </c>
      <c r="B39" s="38" t="s">
        <v>212</v>
      </c>
      <c r="C39" s="1">
        <v>0</v>
      </c>
      <c r="D39" s="12">
        <v>0</v>
      </c>
      <c r="E39" s="12">
        <v>0</v>
      </c>
      <c r="F39" s="12">
        <v>0</v>
      </c>
      <c r="G39" s="12" t="str">
        <f t="shared" si="52"/>
        <v>m_reload_fpga</v>
      </c>
      <c r="H39" s="12" t="str">
        <f t="shared" si="44"/>
        <v>ac_reload_fpga</v>
      </c>
      <c r="I39" s="18" t="str">
        <f t="shared" si="53"/>
        <v xml:space="preserve">  m_reload_fpga, // #37 = Reload FPGA</v>
      </c>
      <c r="J39" s="1" t="str">
        <f t="shared" si="54"/>
        <v xml:space="preserve">  { "Reload FPGA" },  // #37 </v>
      </c>
      <c r="K39" s="18" t="str">
        <f t="shared" si="55"/>
        <v xml:space="preserve">  0, // #37 = Reload FPGA</v>
      </c>
      <c r="L39" s="18" t="str">
        <f t="shared" si="56"/>
        <v xml:space="preserve">  0, // #37 = Reload FPGA</v>
      </c>
      <c r="M39" s="18" t="str">
        <f t="shared" si="57"/>
        <v xml:space="preserve">  0, // #37 = Reload FPGA</v>
      </c>
      <c r="N39" s="18" t="str">
        <f t="shared" si="58"/>
        <v xml:space="preserve">  ac_reload_fpga, // Reload FPGA</v>
      </c>
      <c r="O39" s="18" t="str">
        <f t="shared" si="59"/>
        <v xml:space="preserve">  0, // #37 = Reload FPGA</v>
      </c>
      <c r="P39" s="13"/>
    </row>
    <row r="40" spans="1:16" x14ac:dyDescent="0.25">
      <c r="A40" s="2">
        <f t="shared" si="6"/>
        <v>38</v>
      </c>
      <c r="B40" s="38" t="s">
        <v>213</v>
      </c>
      <c r="C40" s="1">
        <v>0</v>
      </c>
      <c r="D40" s="12">
        <v>0</v>
      </c>
      <c r="E40" s="12">
        <v>0</v>
      </c>
      <c r="F40" s="12">
        <v>0</v>
      </c>
      <c r="G40" s="12" t="str">
        <f t="shared" si="52"/>
        <v>m_test</v>
      </c>
      <c r="H40" s="12" t="str">
        <f t="shared" si="44"/>
        <v>ac_test</v>
      </c>
      <c r="I40" s="18" t="str">
        <f t="shared" si="53"/>
        <v xml:space="preserve">  m_test, // #38 = Test</v>
      </c>
      <c r="J40" s="1" t="str">
        <f t="shared" si="54"/>
        <v xml:space="preserve">  { "Test" },  // #38 </v>
      </c>
      <c r="K40" s="18" t="str">
        <f t="shared" si="55"/>
        <v xml:space="preserve">  0, // #38 = Test</v>
      </c>
      <c r="L40" s="18" t="str">
        <f t="shared" si="56"/>
        <v xml:space="preserve">  0, // #38 = Test</v>
      </c>
      <c r="M40" s="18" t="str">
        <f t="shared" si="57"/>
        <v xml:space="preserve">  0, // #38 = Test</v>
      </c>
      <c r="N40" s="18" t="str">
        <f t="shared" si="58"/>
        <v xml:space="preserve">  ac_test, // Test</v>
      </c>
      <c r="O40" s="18" t="str">
        <f t="shared" si="59"/>
        <v xml:space="preserve">  0, // #38 = Test</v>
      </c>
      <c r="P40" s="13"/>
    </row>
    <row r="41" spans="1:16" x14ac:dyDescent="0.25">
      <c r="A41" s="2">
        <f t="shared" si="6"/>
        <v>39</v>
      </c>
      <c r="B41" s="22" t="s">
        <v>207</v>
      </c>
      <c r="C41" s="22">
        <v>-1</v>
      </c>
      <c r="D41" s="22">
        <v>0</v>
      </c>
      <c r="E41" s="22">
        <v>0</v>
      </c>
      <c r="F41" s="22">
        <v>0</v>
      </c>
      <c r="G41" s="26" t="str">
        <f>CONCATENATE("m_back_",A41)</f>
        <v>m_back_39</v>
      </c>
      <c r="H41" s="12" t="s">
        <v>199</v>
      </c>
      <c r="I41" s="26" t="str">
        <f t="shared" ref="I41" si="60">CONCATENATE("  ",G41,", // #",A41," = ",B41,IF(C41&lt;0," EXIT ",""))</f>
        <v xml:space="preserve">  m_back_39, // #39 = Utilities EXIT </v>
      </c>
      <c r="J41" s="22" t="str">
        <f t="shared" ref="J41" si="61">CONCATENATE("  { """,B41,""" },  // #",A41," ",IF(C41&lt;0," EXIT SUBM",""))</f>
        <v xml:space="preserve">  { "Utilities" },  // #39  EXIT SUBM</v>
      </c>
      <c r="K41" s="26" t="str">
        <f t="shared" ref="K41" si="62">CONCATENATE("  ",D41,", // #",A41," = ",B41,IF(C41&lt;0," EXIT ",""))</f>
        <v xml:space="preserve">  0, // #39 = Utilities EXIT </v>
      </c>
      <c r="L41" s="26" t="str">
        <f t="shared" ref="L41" si="63">CONCATENATE("  ",E41,", // #",A41," = ",B41,IF(C41&lt;0," EXIT ",""))</f>
        <v xml:space="preserve">  0, // #39 = Utilities EXIT </v>
      </c>
      <c r="M41" s="26" t="str">
        <f t="shared" ref="M41" si="64">CONCATENATE("  ",C41,", // #",A41," = ",B41,IF(C41&lt;0," EXIT ",""))</f>
        <v xml:space="preserve">  -1, // #39 = Utilities EXIT </v>
      </c>
      <c r="N41" s="18" t="str">
        <f t="shared" ref="N41" si="65">CONCATENATE("  ",H41,", // ",B41)</f>
        <v xml:space="preserve">  ac_none, // Utilities</v>
      </c>
      <c r="O41" s="26" t="str">
        <f t="shared" ref="O41" si="66">CONCATENATE("  ",F41,", // #",A41," = ",B41,IF(C41&lt;0," EXIT ",""))</f>
        <v xml:space="preserve">  0, // #39 = Utilities EXIT </v>
      </c>
      <c r="P41" s="13"/>
    </row>
    <row r="42" spans="1:16" x14ac:dyDescent="0.25">
      <c r="A42" s="2">
        <f t="shared" si="6"/>
        <v>40</v>
      </c>
      <c r="B42" s="25" t="s">
        <v>4</v>
      </c>
      <c r="C42" s="20">
        <v>0</v>
      </c>
      <c r="D42" s="20">
        <v>0</v>
      </c>
      <c r="E42" s="24" t="s">
        <v>38</v>
      </c>
      <c r="F42" s="1" t="s">
        <v>31</v>
      </c>
      <c r="G42" s="12" t="str">
        <f>CONCATENATE("m_",LOWER(SUBSTITUTE(SUBSTITUTE(B42,"/","")," ","_")))</f>
        <v>m_kbd_driver</v>
      </c>
      <c r="H42" s="12" t="str">
        <f>CONCATENATE("ac_",LOWER(SUBSTITUTE(SUBSTITUTE(B42,"/","")," ","_")))</f>
        <v>ac_kbd_driver</v>
      </c>
      <c r="I42" s="18" t="str">
        <f t="shared" ref="I42:I49" si="67">CONCATENATE("  ",G42,", // #",A42," = ",B42,IF(C42&lt;0," EXIT ",""))</f>
        <v xml:space="preserve">  m_kbd_driver, // #40 = Kbd Driver</v>
      </c>
      <c r="J42" s="1" t="str">
        <f t="shared" ref="J42:J49" si="68">CONCATENATE("  { """,B42,""" },  // #",A42," ",IF(C42&lt;0," EXIT SUBM",""))</f>
        <v xml:space="preserve">  { "Kbd Driver" },  // #40 </v>
      </c>
      <c r="K42" s="18" t="str">
        <f t="shared" ref="K42:K49" si="69">CONCATENATE("  ",D42,", // #",A42," = ",B42,IF(C42&lt;0," EXIT ",""))</f>
        <v xml:space="preserve">  0, // #40 = Kbd Driver</v>
      </c>
      <c r="L42" s="18" t="str">
        <f t="shared" ref="L42:L49" si="70">CONCATENATE("  ",E42,", // #",A42," = ",B42,IF(C42&lt;0," EXIT ",""))</f>
        <v xml:space="preserve">  drv_custom, // #40 = Kbd Driver</v>
      </c>
      <c r="M42" s="18" t="str">
        <f t="shared" ref="M42:M49" si="71">CONCATENATE("  ",C42,", // #",A42," = ",B42,IF(C42&lt;0," EXIT ",""))</f>
        <v xml:space="preserve">  0, // #40 = Kbd Driver</v>
      </c>
      <c r="N42" s="18" t="str">
        <f t="shared" si="8"/>
        <v xml:space="preserve">  ac_kbd_driver, // Kbd Driver</v>
      </c>
      <c r="O42" s="18" t="str">
        <f t="shared" si="5"/>
        <v xml:space="preserve">  drv_fatar1, // #40 = Kbd Driver</v>
      </c>
      <c r="P42" s="13"/>
    </row>
    <row r="43" spans="1:16" x14ac:dyDescent="0.25">
      <c r="A43" s="2">
        <f t="shared" si="6"/>
        <v>41</v>
      </c>
      <c r="B43" s="1" t="s">
        <v>5</v>
      </c>
      <c r="C43" s="1">
        <v>0</v>
      </c>
      <c r="D43" s="1">
        <v>1</v>
      </c>
      <c r="E43" s="1">
        <v>40</v>
      </c>
      <c r="F43" s="1" t="s">
        <v>35</v>
      </c>
      <c r="G43" s="12" t="str">
        <f t="shared" ref="G43:G48" si="72">CONCATENATE("m_",LOWER(SUBSTITUTE(SUBSTITUTE(B43,"/","")," ","_")))</f>
        <v>m_velocity_min</v>
      </c>
      <c r="H43" s="12" t="str">
        <f t="shared" ref="H43:H48" si="73">CONCATENATE("ac_",LOWER(SUBSTITUTE(SUBSTITUTE(B43,"/","")," ","_")))</f>
        <v>ac_velocity_min</v>
      </c>
      <c r="I43" s="18" t="str">
        <f t="shared" si="67"/>
        <v xml:space="preserve">  m_velocity_min, // #41 = Velocity Min</v>
      </c>
      <c r="J43" s="1" t="str">
        <f t="shared" si="68"/>
        <v xml:space="preserve">  { "Velocity Min" },  // #41 </v>
      </c>
      <c r="K43" s="18" t="str">
        <f t="shared" si="69"/>
        <v xml:space="preserve">  1, // #41 = Velocity Min</v>
      </c>
      <c r="L43" s="18" t="str">
        <f t="shared" si="70"/>
        <v xml:space="preserve">  40, // #41 = Velocity Min</v>
      </c>
      <c r="M43" s="18" t="str">
        <f t="shared" si="71"/>
        <v xml:space="preserve">  0, // #41 = Velocity Min</v>
      </c>
      <c r="N43" s="18" t="str">
        <f t="shared" si="8"/>
        <v xml:space="preserve">  ac_velocity_min, // Velocity Min</v>
      </c>
      <c r="O43" s="18" t="str">
        <f t="shared" si="5"/>
        <v xml:space="preserve">  MIDI_MINDYN, // #41 = Velocity Min</v>
      </c>
      <c r="P43" s="13"/>
    </row>
    <row r="44" spans="1:16" x14ac:dyDescent="0.25">
      <c r="A44" s="2">
        <f t="shared" si="6"/>
        <v>42</v>
      </c>
      <c r="B44" s="1" t="s">
        <v>60</v>
      </c>
      <c r="C44" s="1">
        <v>0</v>
      </c>
      <c r="D44" s="1">
        <v>1</v>
      </c>
      <c r="E44" s="1">
        <v>40</v>
      </c>
      <c r="F44" s="1" t="s">
        <v>36</v>
      </c>
      <c r="G44" s="12" t="str">
        <f t="shared" si="72"/>
        <v>m_velocity_maxadj</v>
      </c>
      <c r="H44" s="12" t="str">
        <f t="shared" si="73"/>
        <v>ac_velocity_maxadj</v>
      </c>
      <c r="I44" s="18" t="str">
        <f t="shared" si="67"/>
        <v xml:space="preserve">  m_velocity_maxadj, // #42 = Velocity MaxAdj</v>
      </c>
      <c r="J44" s="1" t="str">
        <f t="shared" si="68"/>
        <v xml:space="preserve">  { "Velocity MaxAdj" },  // #42 </v>
      </c>
      <c r="K44" s="18" t="str">
        <f t="shared" si="69"/>
        <v xml:space="preserve">  1, // #42 = Velocity MaxAdj</v>
      </c>
      <c r="L44" s="18" t="str">
        <f t="shared" si="70"/>
        <v xml:space="preserve">  40, // #42 = Velocity MaxAdj</v>
      </c>
      <c r="M44" s="18" t="str">
        <f t="shared" si="71"/>
        <v xml:space="preserve">  0, // #42 = Velocity MaxAdj</v>
      </c>
      <c r="N44" s="18" t="str">
        <f t="shared" si="8"/>
        <v xml:space="preserve">  ac_velocity_maxadj, // Velocity MaxAdj</v>
      </c>
      <c r="O44" s="18" t="str">
        <f t="shared" si="5"/>
        <v xml:space="preserve">  MIDI_MAXDYNADJ, // #42 = Velocity MaxAdj</v>
      </c>
      <c r="P44" s="13"/>
    </row>
    <row r="45" spans="1:16" x14ac:dyDescent="0.25">
      <c r="A45" s="2">
        <f t="shared" si="6"/>
        <v>43</v>
      </c>
      <c r="B45" s="1" t="s">
        <v>6</v>
      </c>
      <c r="C45" s="1">
        <v>0</v>
      </c>
      <c r="D45" s="1">
        <v>1</v>
      </c>
      <c r="E45" s="1">
        <v>30</v>
      </c>
      <c r="F45" s="1" t="s">
        <v>37</v>
      </c>
      <c r="G45" s="12" t="str">
        <f t="shared" si="72"/>
        <v>m_velocity_slope</v>
      </c>
      <c r="H45" s="12" t="str">
        <f t="shared" si="73"/>
        <v>ac_velocity_slope</v>
      </c>
      <c r="I45" s="18" t="str">
        <f t="shared" si="67"/>
        <v xml:space="preserve">  m_velocity_slope, // #43 = Velocity Slope</v>
      </c>
      <c r="J45" s="1" t="str">
        <f t="shared" si="68"/>
        <v xml:space="preserve">  { "Velocity Slope" },  // #43 </v>
      </c>
      <c r="K45" s="18" t="str">
        <f t="shared" si="69"/>
        <v xml:space="preserve">  1, // #43 = Velocity Slope</v>
      </c>
      <c r="L45" s="18" t="str">
        <f t="shared" si="70"/>
        <v xml:space="preserve">  30, // #43 = Velocity Slope</v>
      </c>
      <c r="M45" s="18" t="str">
        <f t="shared" si="71"/>
        <v xml:space="preserve">  0, // #43 = Velocity Slope</v>
      </c>
      <c r="N45" s="18" t="str">
        <f t="shared" si="8"/>
        <v xml:space="preserve">  ac_velocity_slope, // Velocity Slope</v>
      </c>
      <c r="O45" s="18" t="str">
        <f t="shared" si="5"/>
        <v xml:space="preserve">  MIDI_DYNSLOPE, // #43 = Velocity Slope</v>
      </c>
      <c r="P45" s="13"/>
    </row>
    <row r="46" spans="1:16" s="14" customFormat="1" x14ac:dyDescent="0.25">
      <c r="A46" s="2">
        <f t="shared" si="6"/>
        <v>44</v>
      </c>
      <c r="B46" s="1" t="s">
        <v>15</v>
      </c>
      <c r="C46" s="1">
        <v>0</v>
      </c>
      <c r="D46" s="1">
        <v>12</v>
      </c>
      <c r="E46" s="1">
        <v>60</v>
      </c>
      <c r="F46" s="1" t="s">
        <v>32</v>
      </c>
      <c r="G46" s="12" t="str">
        <f t="shared" si="72"/>
        <v>m_upper_base</v>
      </c>
      <c r="H46" s="12" t="str">
        <f t="shared" si="73"/>
        <v>ac_upper_base</v>
      </c>
      <c r="I46" s="18" t="str">
        <f t="shared" si="67"/>
        <v xml:space="preserve">  m_upper_base, // #44 = Upper Base</v>
      </c>
      <c r="J46" s="1" t="str">
        <f t="shared" si="68"/>
        <v xml:space="preserve">  { "Upper Base" },  // #44 </v>
      </c>
      <c r="K46" s="18" t="str">
        <f t="shared" si="69"/>
        <v xml:space="preserve">  12, // #44 = Upper Base</v>
      </c>
      <c r="L46" s="18" t="str">
        <f t="shared" si="70"/>
        <v xml:space="preserve">  60, // #44 = Upper Base</v>
      </c>
      <c r="M46" s="18" t="str">
        <f t="shared" si="71"/>
        <v xml:space="preserve">  0, // #44 = Upper Base</v>
      </c>
      <c r="N46" s="18" t="str">
        <f t="shared" si="8"/>
        <v xml:space="preserve">  ac_upper_base, // Upper Base</v>
      </c>
      <c r="O46" s="18" t="str">
        <f t="shared" si="5"/>
        <v xml:space="preserve">  MIDI_BASE_UPR, // #44 = Upper Base</v>
      </c>
      <c r="P46" s="13"/>
    </row>
    <row r="47" spans="1:16" x14ac:dyDescent="0.25">
      <c r="A47" s="2">
        <f t="shared" si="6"/>
        <v>45</v>
      </c>
      <c r="B47" s="1" t="s">
        <v>16</v>
      </c>
      <c r="C47" s="1">
        <v>0</v>
      </c>
      <c r="D47" s="1">
        <v>12</v>
      </c>
      <c r="E47" s="1">
        <v>60</v>
      </c>
      <c r="F47" s="1" t="s">
        <v>33</v>
      </c>
      <c r="G47" s="12" t="str">
        <f t="shared" si="72"/>
        <v>m_lower_base</v>
      </c>
      <c r="H47" s="12" t="str">
        <f t="shared" si="73"/>
        <v>ac_lower_base</v>
      </c>
      <c r="I47" s="18" t="str">
        <f t="shared" si="67"/>
        <v xml:space="preserve">  m_lower_base, // #45 = Lower Base</v>
      </c>
      <c r="J47" s="1" t="str">
        <f t="shared" si="68"/>
        <v xml:space="preserve">  { "Lower Base" },  // #45 </v>
      </c>
      <c r="K47" s="18" t="str">
        <f t="shared" si="69"/>
        <v xml:space="preserve">  12, // #45 = Lower Base</v>
      </c>
      <c r="L47" s="18" t="str">
        <f t="shared" si="70"/>
        <v xml:space="preserve">  60, // #45 = Lower Base</v>
      </c>
      <c r="M47" s="18" t="str">
        <f t="shared" si="71"/>
        <v xml:space="preserve">  0, // #45 = Lower Base</v>
      </c>
      <c r="N47" s="18" t="str">
        <f t="shared" si="8"/>
        <v xml:space="preserve">  ac_lower_base, // Lower Base</v>
      </c>
      <c r="O47" s="18" t="str">
        <f t="shared" si="5"/>
        <v xml:space="preserve">  MIDI_BASE_LWR, // #45 = Lower Base</v>
      </c>
      <c r="P47" s="13"/>
    </row>
    <row r="48" spans="1:16" x14ac:dyDescent="0.25">
      <c r="A48" s="2">
        <f>A47+1</f>
        <v>46</v>
      </c>
      <c r="B48" s="1" t="s">
        <v>17</v>
      </c>
      <c r="C48" s="1">
        <v>0</v>
      </c>
      <c r="D48" s="1">
        <v>12</v>
      </c>
      <c r="E48" s="1">
        <v>60</v>
      </c>
      <c r="F48" s="1" t="s">
        <v>34</v>
      </c>
      <c r="G48" s="12" t="str">
        <f t="shared" si="72"/>
        <v>m_pedal_base</v>
      </c>
      <c r="H48" s="12" t="str">
        <f t="shared" si="73"/>
        <v>ac_pedal_base</v>
      </c>
      <c r="I48" s="18" t="str">
        <f t="shared" si="67"/>
        <v xml:space="preserve">  m_pedal_base, // #46 = Pedal Base</v>
      </c>
      <c r="J48" s="1" t="str">
        <f t="shared" si="68"/>
        <v xml:space="preserve">  { "Pedal Base" },  // #46 </v>
      </c>
      <c r="K48" s="18" t="str">
        <f t="shared" si="69"/>
        <v xml:space="preserve">  12, // #46 = Pedal Base</v>
      </c>
      <c r="L48" s="18" t="str">
        <f t="shared" si="70"/>
        <v xml:space="preserve">  60, // #46 = Pedal Base</v>
      </c>
      <c r="M48" s="18" t="str">
        <f t="shared" si="71"/>
        <v xml:space="preserve">  0, // #46 = Pedal Base</v>
      </c>
      <c r="N48" s="18" t="str">
        <f t="shared" si="8"/>
        <v xml:space="preserve">  ac_pedal_base, // Pedal Base</v>
      </c>
      <c r="O48" s="18" t="str">
        <f t="shared" si="5"/>
        <v xml:space="preserve">  MIDI_BASE_PED, // #46 = Pedal Base</v>
      </c>
      <c r="P48" s="13"/>
    </row>
    <row r="49" spans="1:16" x14ac:dyDescent="0.25">
      <c r="A49" s="2">
        <f>A48+1</f>
        <v>47</v>
      </c>
      <c r="B49" s="22" t="s">
        <v>162</v>
      </c>
      <c r="C49" s="22">
        <v>-1</v>
      </c>
      <c r="D49" s="22">
        <v>0</v>
      </c>
      <c r="E49" s="22">
        <v>0</v>
      </c>
      <c r="F49" s="22">
        <v>0</v>
      </c>
      <c r="G49" s="26" t="str">
        <f>CONCATENATE("m_back_",A49)</f>
        <v>m_back_47</v>
      </c>
      <c r="H49" s="12" t="s">
        <v>199</v>
      </c>
      <c r="I49" s="26" t="str">
        <f t="shared" si="67"/>
        <v xml:space="preserve">  m_back_47, // #47 = (Keyboard) EXIT </v>
      </c>
      <c r="J49" s="22" t="str">
        <f t="shared" si="68"/>
        <v xml:space="preserve">  { "(Keyboard)" },  // #47  EXIT SUBM</v>
      </c>
      <c r="K49" s="26" t="str">
        <f t="shared" si="69"/>
        <v xml:space="preserve">  0, // #47 = (Keyboard) EXIT </v>
      </c>
      <c r="L49" s="26" t="str">
        <f t="shared" si="70"/>
        <v xml:space="preserve">  0, // #47 = (Keyboard) EXIT </v>
      </c>
      <c r="M49" s="26" t="str">
        <f t="shared" si="71"/>
        <v xml:space="preserve">  -1, // #47 = (Keyboard) EXIT </v>
      </c>
      <c r="N49" s="18" t="str">
        <f t="shared" si="8"/>
        <v xml:space="preserve">  ac_none, // (Keyboard)</v>
      </c>
      <c r="O49" s="26" t="str">
        <f t="shared" si="5"/>
        <v xml:space="preserve">  0, // #47 = (Keyboard) EXIT </v>
      </c>
      <c r="P49" s="13"/>
    </row>
    <row r="50" spans="1:16" x14ac:dyDescent="0.25">
      <c r="I50" s="15" t="s">
        <v>20</v>
      </c>
      <c r="J50" s="1" t="s">
        <v>20</v>
      </c>
      <c r="K50" s="1" t="s">
        <v>20</v>
      </c>
      <c r="L50" s="1" t="s">
        <v>20</v>
      </c>
      <c r="M50" s="1" t="s">
        <v>20</v>
      </c>
      <c r="N50" s="1" t="s">
        <v>20</v>
      </c>
      <c r="O50" s="1" t="s">
        <v>20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"/>
  <sheetViews>
    <sheetView topLeftCell="A46" zoomScaleNormal="100" workbookViewId="0">
      <selection activeCell="H71" sqref="H71:M71"/>
    </sheetView>
  </sheetViews>
  <sheetFormatPr baseColWidth="10" defaultRowHeight="15" x14ac:dyDescent="0.25"/>
  <cols>
    <col min="1" max="1" width="10.28515625" style="4" customWidth="1"/>
    <col min="2" max="2" width="20.140625" style="1" customWidth="1"/>
    <col min="3" max="3" width="14.7109375" style="1" customWidth="1"/>
    <col min="4" max="5" width="12.5703125" style="1" customWidth="1"/>
    <col min="6" max="6" width="14.7109375" style="1" customWidth="1"/>
    <col min="7" max="7" width="19" style="12" customWidth="1"/>
    <col min="8" max="8" width="29.7109375" style="12" customWidth="1"/>
    <col min="9" max="9" width="36.5703125" style="1" customWidth="1"/>
    <col min="10" max="10" width="26" style="1" customWidth="1"/>
    <col min="11" max="12" width="22.85546875" style="12" customWidth="1"/>
    <col min="13" max="13" width="32.28515625" style="12" customWidth="1"/>
    <col min="14" max="14" width="24" style="28" customWidth="1"/>
    <col min="15" max="16384" width="11.42578125" style="12"/>
  </cols>
  <sheetData>
    <row r="1" spans="1:15" s="7" customFormat="1" ht="45.75" customHeight="1" x14ac:dyDescent="0.25">
      <c r="A1" s="6" t="s">
        <v>0</v>
      </c>
      <c r="B1" s="6" t="s">
        <v>59</v>
      </c>
      <c r="C1" s="10" t="s">
        <v>22</v>
      </c>
      <c r="D1" s="10" t="s">
        <v>23</v>
      </c>
      <c r="E1" s="10" t="s">
        <v>24</v>
      </c>
      <c r="F1" s="10" t="s">
        <v>26</v>
      </c>
      <c r="G1" s="11" t="s">
        <v>39</v>
      </c>
      <c r="H1" s="8" t="s">
        <v>19</v>
      </c>
      <c r="I1" s="8" t="s">
        <v>13</v>
      </c>
      <c r="J1" s="8" t="s">
        <v>25</v>
      </c>
      <c r="K1" s="9" t="s">
        <v>27</v>
      </c>
      <c r="L1" s="9" t="s">
        <v>102</v>
      </c>
      <c r="M1" s="8" t="s">
        <v>21</v>
      </c>
      <c r="N1" s="27" t="s">
        <v>163</v>
      </c>
      <c r="O1" s="13"/>
    </row>
    <row r="2" spans="1:15" x14ac:dyDescent="0.25">
      <c r="A2" s="2">
        <v>0</v>
      </c>
      <c r="B2" s="1" t="s">
        <v>1</v>
      </c>
      <c r="C2" s="1">
        <f>A71</f>
        <v>0</v>
      </c>
      <c r="D2" s="1">
        <v>1</v>
      </c>
      <c r="E2" s="1">
        <v>16</v>
      </c>
      <c r="F2" s="1" t="s">
        <v>28</v>
      </c>
      <c r="G2" s="16" t="s">
        <v>40</v>
      </c>
      <c r="H2" s="18" t="str">
        <f t="shared" ref="H2:H3" si="0">CONCATENATE("  ",G2,", // #",A2," = ",B2,IF(C2&lt;0," EXIT ",""))</f>
        <v xml:space="preserve">  m_upper_channel, // #0 = Upper Channel</v>
      </c>
      <c r="I2" s="1" t="str">
        <f t="shared" ref="I2:I15" si="1">CONCATENATE("  { """,B2,""" },  // #",A2," ",IF(C2&lt;0," EXIT SUBM",""))</f>
        <v xml:space="preserve">  { "Upper Channel" },  // #0 </v>
      </c>
      <c r="J2" s="18" t="str">
        <f t="shared" ref="J2" si="2">CONCATENATE("  ",D2,", // #",A2," = ",B2,IF(C2&lt;0," EXIT ",""))</f>
        <v xml:space="preserve">  1, // #0 = Upper Channel</v>
      </c>
      <c r="K2" s="18" t="str">
        <f t="shared" ref="K2" si="3">CONCATENATE("  ",E2,", // #",A2," = ",B2,IF(C2&lt;0," EXIT ",""))</f>
        <v xml:space="preserve">  16, // #0 = Upper Channel</v>
      </c>
      <c r="L2" s="18" t="str">
        <f t="shared" ref="L2" si="4">CONCATENATE("  ",F2,", // #",A2," = ",B2,IF(C2&lt;0," EXIT ",""))</f>
        <v xml:space="preserve">  MIDI_CH_UPR, // #0 = Upper Channel</v>
      </c>
      <c r="M2" s="18" t="str">
        <f t="shared" ref="M2" si="5">CONCATENATE("  ",C2,", // #",A2," = ",B2,IF(C2&lt;0," EXIT ",""))</f>
        <v xml:space="preserve">  0, // #0 = Upper Channel</v>
      </c>
      <c r="N2" s="28" t="s">
        <v>164</v>
      </c>
      <c r="O2" s="13"/>
    </row>
    <row r="3" spans="1:15" x14ac:dyDescent="0.25">
      <c r="A3" s="2">
        <f t="shared" ref="A3:A63" si="6">A2+1</f>
        <v>1</v>
      </c>
      <c r="B3" s="1" t="s">
        <v>2</v>
      </c>
      <c r="C3" s="1">
        <v>0</v>
      </c>
      <c r="D3" s="1">
        <v>1</v>
      </c>
      <c r="E3" s="1">
        <v>16</v>
      </c>
      <c r="F3" s="1" t="s">
        <v>29</v>
      </c>
      <c r="G3" s="16" t="s">
        <v>41</v>
      </c>
      <c r="H3" s="18" t="str">
        <f t="shared" si="0"/>
        <v xml:space="preserve">  m_lower_channel, // #1 = Lower Channel</v>
      </c>
      <c r="I3" s="1" t="str">
        <f t="shared" si="1"/>
        <v xml:space="preserve">  { "Lower Channel" },  // #1 </v>
      </c>
      <c r="J3" s="18" t="str">
        <f t="shared" ref="J3:J15" si="7">CONCATENATE("  ",D3,", // #",A3," = ",B3,IF(C3&lt;0," EXIT ",""))</f>
        <v xml:space="preserve">  1, // #1 = Lower Channel</v>
      </c>
      <c r="K3" s="18" t="str">
        <f t="shared" ref="K3:K15" si="8">CONCATENATE("  ",E3,", // #",A3," = ",B3,IF(C3&lt;0," EXIT ",""))</f>
        <v xml:space="preserve">  16, // #1 = Lower Channel</v>
      </c>
      <c r="L3" s="18" t="str">
        <f t="shared" ref="L3:L15" si="9">CONCATENATE("  ",F3,", // #",A3," = ",B3,IF(C3&lt;0," EXIT ",""))</f>
        <v xml:space="preserve">  MIDI_CH_LWR, // #1 = Lower Channel</v>
      </c>
      <c r="M3" s="18" t="str">
        <f t="shared" ref="M3:M15" si="10">CONCATENATE("  ",C3,", // #",A3," = ",B3,IF(C3&lt;0," EXIT ",""))</f>
        <v xml:space="preserve">  0, // #1 = Lower Channel</v>
      </c>
      <c r="O3" s="13"/>
    </row>
    <row r="4" spans="1:15" x14ac:dyDescent="0.25">
      <c r="A4" s="2">
        <f t="shared" si="6"/>
        <v>2</v>
      </c>
      <c r="B4" s="1" t="s">
        <v>3</v>
      </c>
      <c r="C4" s="1">
        <v>0</v>
      </c>
      <c r="D4" s="1">
        <v>1</v>
      </c>
      <c r="E4" s="1">
        <v>16</v>
      </c>
      <c r="F4" s="1" t="s">
        <v>30</v>
      </c>
      <c r="G4" s="16" t="s">
        <v>42</v>
      </c>
      <c r="H4" s="18" t="str">
        <f t="shared" ref="H4:H15" si="11">CONCATENATE("  ",G4,", // #",A4," = ",B4,IF(C4&lt;0," EXIT ",""))</f>
        <v xml:space="preserve">  m_pedal_channel, // #2 = Pedal Channel</v>
      </c>
      <c r="I4" s="1" t="str">
        <f t="shared" si="1"/>
        <v xml:space="preserve">  { "Pedal Channel" },  // #2 </v>
      </c>
      <c r="J4" s="18" t="str">
        <f t="shared" si="7"/>
        <v xml:space="preserve">  1, // #2 = Pedal Channel</v>
      </c>
      <c r="K4" s="18" t="str">
        <f t="shared" si="8"/>
        <v xml:space="preserve">  16, // #2 = Pedal Channel</v>
      </c>
      <c r="L4" s="18" t="str">
        <f t="shared" si="9"/>
        <v xml:space="preserve">  MIDI_CH_PED, // #2 = Pedal Channel</v>
      </c>
      <c r="M4" s="18" t="str">
        <f t="shared" si="10"/>
        <v xml:space="preserve">  0, // #2 = Pedal Channel</v>
      </c>
      <c r="O4" s="13"/>
    </row>
    <row r="5" spans="1:15" x14ac:dyDescent="0.25">
      <c r="A5" s="2">
        <f t="shared" si="6"/>
        <v>3</v>
      </c>
      <c r="B5" s="1" t="s">
        <v>158</v>
      </c>
      <c r="C5" s="1">
        <v>0</v>
      </c>
      <c r="D5" s="1">
        <v>-1</v>
      </c>
      <c r="E5" s="1">
        <v>31</v>
      </c>
      <c r="F5" s="1">
        <v>-1</v>
      </c>
      <c r="G5" s="16" t="s">
        <v>156</v>
      </c>
      <c r="H5" s="18" t="str">
        <f t="shared" ref="H5:H6" si="12">CONCATENATE("  ",G5,", // #",A5," = ",B5,IF(C5&lt;0," EXIT ",""))</f>
        <v xml:space="preserve">  m_pitchwheel_pot, // #3 = Pitchwheel Pot</v>
      </c>
      <c r="I5" s="1" t="str">
        <f t="shared" ref="I5:I6" si="13">CONCATENATE("  { """,B5,""" },  // #",A5," ",IF(C5&lt;0," EXIT SUBM",""))</f>
        <v xml:space="preserve">  { "Pitchwheel Pot" },  // #3 </v>
      </c>
      <c r="J5" s="18" t="str">
        <f t="shared" ref="J5:J6" si="14">CONCATENATE("  ",D5,", // #",A5," = ",B5,IF(C5&lt;0," EXIT ",""))</f>
        <v xml:space="preserve">  -1, // #3 = Pitchwheel Pot</v>
      </c>
      <c r="K5" s="18" t="str">
        <f t="shared" ref="K5:K6" si="15">CONCATENATE("  ",E5,", // #",A5," = ",B5,IF(C5&lt;0," EXIT ",""))</f>
        <v xml:space="preserve">  31, // #3 = Pitchwheel Pot</v>
      </c>
      <c r="L5" s="18" t="str">
        <f t="shared" ref="L5:L6" si="16">CONCATENATE("  ",F5,", // #",A5," = ",B5,IF(C5&lt;0," EXIT ",""))</f>
        <v xml:space="preserve">  -1, // #3 = Pitchwheel Pot</v>
      </c>
      <c r="M5" s="18" t="str">
        <f t="shared" ref="M5:M6" si="17">CONCATENATE("  ",C5,", // #",A5," = ",B5,IF(C5&lt;0," EXIT ",""))</f>
        <v xml:space="preserve">  0, // #3 = Pitchwheel Pot</v>
      </c>
      <c r="O5" s="13"/>
    </row>
    <row r="6" spans="1:15" x14ac:dyDescent="0.25">
      <c r="A6" s="2">
        <f t="shared" si="6"/>
        <v>4</v>
      </c>
      <c r="B6" s="1" t="s">
        <v>155</v>
      </c>
      <c r="C6" s="1">
        <v>0</v>
      </c>
      <c r="D6" s="1">
        <v>-1</v>
      </c>
      <c r="E6" s="1">
        <v>31</v>
      </c>
      <c r="F6" s="1">
        <v>-1</v>
      </c>
      <c r="G6" s="16" t="s">
        <v>157</v>
      </c>
      <c r="H6" s="18" t="str">
        <f t="shared" si="12"/>
        <v xml:space="preserve">  m_modulation_pot, // #4 = Modulation Pot</v>
      </c>
      <c r="I6" s="1" t="str">
        <f t="shared" si="13"/>
        <v xml:space="preserve">  { "Modulation Pot" },  // #4 </v>
      </c>
      <c r="J6" s="18" t="str">
        <f t="shared" si="14"/>
        <v xml:space="preserve">  -1, // #4 = Modulation Pot</v>
      </c>
      <c r="K6" s="18" t="str">
        <f t="shared" si="15"/>
        <v xml:space="preserve">  31, // #4 = Modulation Pot</v>
      </c>
      <c r="L6" s="18" t="str">
        <f t="shared" si="16"/>
        <v xml:space="preserve">  -1, // #4 = Modulation Pot</v>
      </c>
      <c r="M6" s="18" t="str">
        <f t="shared" si="17"/>
        <v xml:space="preserve">  0, // #4 = Modulation Pot</v>
      </c>
      <c r="O6" s="13"/>
    </row>
    <row r="7" spans="1:15" s="14" customFormat="1" x14ac:dyDescent="0.25">
      <c r="A7" s="2">
        <f t="shared" si="6"/>
        <v>5</v>
      </c>
      <c r="B7" s="1" t="s">
        <v>61</v>
      </c>
      <c r="C7" s="23">
        <v>61</v>
      </c>
      <c r="D7" s="1">
        <v>0</v>
      </c>
      <c r="E7" s="19">
        <v>0</v>
      </c>
      <c r="F7" s="1">
        <v>0</v>
      </c>
      <c r="G7" s="18" t="s">
        <v>63</v>
      </c>
      <c r="H7" s="18" t="str">
        <f t="shared" si="11"/>
        <v xml:space="preserve">  m_kbd_subm, // #5 = Keyboard</v>
      </c>
      <c r="I7" s="1" t="str">
        <f t="shared" si="1"/>
        <v xml:space="preserve">  { "Keyboard" },  // #5 </v>
      </c>
      <c r="J7" s="18" t="str">
        <f t="shared" si="7"/>
        <v xml:space="preserve">  0, // #5 = Keyboard</v>
      </c>
      <c r="K7" s="18" t="str">
        <f t="shared" si="8"/>
        <v xml:space="preserve">  0, // #5 = Keyboard</v>
      </c>
      <c r="L7" s="18" t="str">
        <f t="shared" si="9"/>
        <v xml:space="preserve">  0, // #5 = Keyboard</v>
      </c>
      <c r="M7" s="18" t="str">
        <f t="shared" si="10"/>
        <v xml:space="preserve">  61, // #5 = Keyboard</v>
      </c>
      <c r="N7" s="28"/>
      <c r="O7" s="13"/>
    </row>
    <row r="8" spans="1:15" s="14" customFormat="1" x14ac:dyDescent="0.25">
      <c r="A8" s="2">
        <f t="shared" si="6"/>
        <v>6</v>
      </c>
      <c r="B8" s="1" t="s">
        <v>7</v>
      </c>
      <c r="C8" s="23">
        <v>10</v>
      </c>
      <c r="D8" s="1">
        <v>0</v>
      </c>
      <c r="E8" s="1">
        <v>0</v>
      </c>
      <c r="F8" s="1">
        <v>0</v>
      </c>
      <c r="G8" s="18" t="s">
        <v>64</v>
      </c>
      <c r="H8" s="18" t="str">
        <f t="shared" si="11"/>
        <v xml:space="preserve">  m_cc_subm, // #6 = Pot Assign</v>
      </c>
      <c r="I8" s="1" t="str">
        <f t="shared" si="1"/>
        <v xml:space="preserve">  { "Pot Assign" },  // #6 </v>
      </c>
      <c r="J8" s="18" t="str">
        <f t="shared" si="7"/>
        <v xml:space="preserve">  0, // #6 = Pot Assign</v>
      </c>
      <c r="K8" s="18" t="str">
        <f t="shared" si="8"/>
        <v xml:space="preserve">  0, // #6 = Pot Assign</v>
      </c>
      <c r="L8" s="18" t="str">
        <f t="shared" si="9"/>
        <v xml:space="preserve">  0, // #6 = Pot Assign</v>
      </c>
      <c r="M8" s="18" t="str">
        <f t="shared" si="10"/>
        <v xml:space="preserve">  10, // #6 = Pot Assign</v>
      </c>
      <c r="N8" s="28"/>
      <c r="O8" s="13"/>
    </row>
    <row r="9" spans="1:15" s="14" customFormat="1" x14ac:dyDescent="0.25">
      <c r="A9" s="2">
        <f t="shared" si="6"/>
        <v>7</v>
      </c>
      <c r="B9" s="1" t="s">
        <v>8</v>
      </c>
      <c r="C9" s="23">
        <v>27</v>
      </c>
      <c r="D9" s="1">
        <v>0</v>
      </c>
      <c r="E9" s="1">
        <v>0</v>
      </c>
      <c r="F9" s="1">
        <v>0</v>
      </c>
      <c r="G9" s="18" t="s">
        <v>138</v>
      </c>
      <c r="H9" s="18" t="str">
        <f t="shared" si="11"/>
        <v xml:space="preserve">  m_btncc_subm, // #7 = Button Assign</v>
      </c>
      <c r="I9" s="1" t="str">
        <f t="shared" si="1"/>
        <v xml:space="preserve">  { "Button Assign" },  // #7 </v>
      </c>
      <c r="J9" s="18" t="str">
        <f t="shared" si="7"/>
        <v xml:space="preserve">  0, // #7 = Button Assign</v>
      </c>
      <c r="K9" s="18" t="str">
        <f t="shared" si="8"/>
        <v xml:space="preserve">  0, // #7 = Button Assign</v>
      </c>
      <c r="L9" s="18" t="str">
        <f t="shared" si="9"/>
        <v xml:space="preserve">  0, // #7 = Button Assign</v>
      </c>
      <c r="M9" s="18" t="str">
        <f t="shared" si="10"/>
        <v xml:space="preserve">  27, // #7 = Button Assign</v>
      </c>
      <c r="N9" s="28"/>
      <c r="O9" s="13"/>
    </row>
    <row r="10" spans="1:15" s="14" customFormat="1" x14ac:dyDescent="0.25">
      <c r="A10" s="2">
        <f t="shared" si="6"/>
        <v>8</v>
      </c>
      <c r="B10" s="1" t="s">
        <v>119</v>
      </c>
      <c r="C10" s="23">
        <v>44</v>
      </c>
      <c r="D10" s="1">
        <v>0</v>
      </c>
      <c r="E10" s="1">
        <v>0</v>
      </c>
      <c r="F10" s="1">
        <v>0</v>
      </c>
      <c r="G10" s="18" t="s">
        <v>137</v>
      </c>
      <c r="H10" s="18" t="str">
        <f t="shared" ref="H10" si="18">CONCATENATE("  ",G10,", // #",A10," = ",B10,IF(C10&lt;0," EXIT ",""))</f>
        <v xml:space="preserve">  m_btnmode_subm, // #8 = Button Mode</v>
      </c>
      <c r="I10" s="1" t="str">
        <f t="shared" ref="I10" si="19">CONCATENATE("  { """,B10,""" },  // #",A10," ",IF(C10&lt;0," EXIT SUBM",""))</f>
        <v xml:space="preserve">  { "Button Mode" },  // #8 </v>
      </c>
      <c r="J10" s="18" t="str">
        <f t="shared" ref="J10" si="20">CONCATENATE("  ",D10,", // #",A10," = ",B10,IF(C10&lt;0," EXIT ",""))</f>
        <v xml:space="preserve">  0, // #8 = Button Mode</v>
      </c>
      <c r="K10" s="18" t="str">
        <f t="shared" ref="K10" si="21">CONCATENATE("  ",E10,", // #",A10," = ",B10,IF(C10&lt;0," EXIT ",""))</f>
        <v xml:space="preserve">  0, // #8 = Button Mode</v>
      </c>
      <c r="L10" s="18" t="str">
        <f t="shared" ref="L10" si="22">CONCATENATE("  ",F10,", // #",A10," = ",B10,IF(C10&lt;0," EXIT ",""))</f>
        <v xml:space="preserve">  0, // #8 = Button Mode</v>
      </c>
      <c r="M10" s="18" t="str">
        <f t="shared" ref="M10" si="23">CONCATENATE("  ",C10,", // #",A10," = ",B10,IF(C10&lt;0," EXIT ",""))</f>
        <v xml:space="preserve">  44, // #8 = Button Mode</v>
      </c>
      <c r="N10" s="28"/>
      <c r="O10" s="13"/>
    </row>
    <row r="11" spans="1:15" x14ac:dyDescent="0.25">
      <c r="A11" s="2">
        <f t="shared" si="6"/>
        <v>9</v>
      </c>
      <c r="B11" s="1" t="s">
        <v>18</v>
      </c>
      <c r="C11" s="1">
        <v>0</v>
      </c>
      <c r="D11" s="1">
        <v>0</v>
      </c>
      <c r="E11" s="1">
        <v>0</v>
      </c>
      <c r="F11" s="1">
        <v>0</v>
      </c>
      <c r="G11" s="16" t="s">
        <v>50</v>
      </c>
      <c r="H11" s="18" t="str">
        <f t="shared" si="11"/>
        <v xml:space="preserve">  m_end, // #9 = (end)</v>
      </c>
      <c r="I11" s="1" t="str">
        <f t="shared" si="1"/>
        <v xml:space="preserve">  { "(end)" },  // #9 </v>
      </c>
      <c r="J11" s="18" t="str">
        <f t="shared" si="7"/>
        <v xml:space="preserve">  0, // #9 = (end)</v>
      </c>
      <c r="K11" s="18" t="str">
        <f t="shared" si="8"/>
        <v xml:space="preserve">  0, // #9 = (end)</v>
      </c>
      <c r="L11" s="18" t="str">
        <f t="shared" si="9"/>
        <v xml:space="preserve">  0, // #9 = (end)</v>
      </c>
      <c r="M11" s="18" t="str">
        <f t="shared" si="10"/>
        <v xml:space="preserve">  0, // #9 = (end)</v>
      </c>
      <c r="N11" s="28" t="s">
        <v>165</v>
      </c>
      <c r="O11" s="13"/>
    </row>
    <row r="12" spans="1:15" x14ac:dyDescent="0.25">
      <c r="A12" s="2">
        <f t="shared" si="6"/>
        <v>10</v>
      </c>
      <c r="B12" s="23" t="s">
        <v>9</v>
      </c>
      <c r="C12" s="20">
        <v>0</v>
      </c>
      <c r="D12" s="20">
        <v>-1</v>
      </c>
      <c r="E12" s="20">
        <v>127</v>
      </c>
      <c r="F12" s="1">
        <v>7</v>
      </c>
      <c r="G12" s="16" t="s">
        <v>51</v>
      </c>
      <c r="H12" s="18" t="str">
        <f t="shared" si="11"/>
        <v xml:space="preserve">  m_CC1, // #10 = Pot 1 CC</v>
      </c>
      <c r="I12" s="1" t="str">
        <f t="shared" si="1"/>
        <v xml:space="preserve">  { "Pot 1 CC" },  // #10 </v>
      </c>
      <c r="J12" s="18" t="str">
        <f t="shared" si="7"/>
        <v xml:space="preserve">  -1, // #10 = Pot 1 CC</v>
      </c>
      <c r="K12" s="18" t="str">
        <f t="shared" si="8"/>
        <v xml:space="preserve">  127, // #10 = Pot 1 CC</v>
      </c>
      <c r="L12" s="18" t="str">
        <f t="shared" si="9"/>
        <v xml:space="preserve">  7, // #10 = Pot 1 CC</v>
      </c>
      <c r="M12" s="18" t="str">
        <f t="shared" si="10"/>
        <v xml:space="preserve">  0, // #10 = Pot 1 CC</v>
      </c>
      <c r="O12" s="13"/>
    </row>
    <row r="13" spans="1:15" x14ac:dyDescent="0.25">
      <c r="A13" s="2">
        <f t="shared" si="6"/>
        <v>11</v>
      </c>
      <c r="B13" s="1" t="s">
        <v>10</v>
      </c>
      <c r="C13" s="1">
        <v>0</v>
      </c>
      <c r="D13" s="1">
        <v>-1</v>
      </c>
      <c r="E13" s="21">
        <f>E12</f>
        <v>127</v>
      </c>
      <c r="F13" s="1">
        <v>10</v>
      </c>
      <c r="G13" s="16" t="s">
        <v>52</v>
      </c>
      <c r="H13" s="18" t="str">
        <f t="shared" si="11"/>
        <v xml:space="preserve">  m_CC2, // #11 = Pot 2 CC</v>
      </c>
      <c r="I13" s="1" t="str">
        <f t="shared" si="1"/>
        <v xml:space="preserve">  { "Pot 2 CC" },  // #11 </v>
      </c>
      <c r="J13" s="18" t="str">
        <f t="shared" si="7"/>
        <v xml:space="preserve">  -1, // #11 = Pot 2 CC</v>
      </c>
      <c r="K13" s="18" t="str">
        <f t="shared" si="8"/>
        <v xml:space="preserve">  127, // #11 = Pot 2 CC</v>
      </c>
      <c r="L13" s="18" t="str">
        <f t="shared" si="9"/>
        <v xml:space="preserve">  10, // #11 = Pot 2 CC</v>
      </c>
      <c r="M13" s="18" t="str">
        <f t="shared" si="10"/>
        <v xml:space="preserve">  0, // #11 = Pot 2 CC</v>
      </c>
      <c r="O13" s="13"/>
    </row>
    <row r="14" spans="1:15" x14ac:dyDescent="0.25">
      <c r="A14" s="2">
        <f t="shared" si="6"/>
        <v>12</v>
      </c>
      <c r="B14" s="1" t="s">
        <v>11</v>
      </c>
      <c r="C14" s="1">
        <v>0</v>
      </c>
      <c r="D14" s="1">
        <v>-1</v>
      </c>
      <c r="E14" s="21">
        <f t="shared" ref="E14:E27" si="24">E13</f>
        <v>127</v>
      </c>
      <c r="F14" s="1">
        <v>11</v>
      </c>
      <c r="G14" s="16" t="s">
        <v>53</v>
      </c>
      <c r="H14" s="18" t="str">
        <f t="shared" si="11"/>
        <v xml:space="preserve">  m_CC3, // #12 = Pot 3 CC</v>
      </c>
      <c r="I14" s="1" t="str">
        <f t="shared" si="1"/>
        <v xml:space="preserve">  { "Pot 3 CC" },  // #12 </v>
      </c>
      <c r="J14" s="18" t="str">
        <f t="shared" si="7"/>
        <v xml:space="preserve">  -1, // #12 = Pot 3 CC</v>
      </c>
      <c r="K14" s="18" t="str">
        <f t="shared" si="8"/>
        <v xml:space="preserve">  127, // #12 = Pot 3 CC</v>
      </c>
      <c r="L14" s="18" t="str">
        <f t="shared" si="9"/>
        <v xml:space="preserve">  11, // #12 = Pot 3 CC</v>
      </c>
      <c r="M14" s="18" t="str">
        <f t="shared" si="10"/>
        <v xml:space="preserve">  0, // #12 = Pot 3 CC</v>
      </c>
      <c r="O14" s="13"/>
    </row>
    <row r="15" spans="1:15" x14ac:dyDescent="0.25">
      <c r="A15" s="2">
        <f t="shared" si="6"/>
        <v>13</v>
      </c>
      <c r="B15" s="1" t="s">
        <v>12</v>
      </c>
      <c r="C15" s="1">
        <v>0</v>
      </c>
      <c r="D15" s="1">
        <v>-1</v>
      </c>
      <c r="E15" s="21">
        <f t="shared" si="24"/>
        <v>127</v>
      </c>
      <c r="F15" s="1">
        <v>91</v>
      </c>
      <c r="G15" s="16" t="s">
        <v>54</v>
      </c>
      <c r="H15" s="18" t="str">
        <f t="shared" si="11"/>
        <v xml:space="preserve">  m_CC4, // #13 = Pot 4 CC</v>
      </c>
      <c r="I15" s="1" t="str">
        <f t="shared" si="1"/>
        <v xml:space="preserve">  { "Pot 4 CC" },  // #13 </v>
      </c>
      <c r="J15" s="18" t="str">
        <f t="shared" si="7"/>
        <v xml:space="preserve">  -1, // #13 = Pot 4 CC</v>
      </c>
      <c r="K15" s="18" t="str">
        <f t="shared" si="8"/>
        <v xml:space="preserve">  127, // #13 = Pot 4 CC</v>
      </c>
      <c r="L15" s="18" t="str">
        <f t="shared" si="9"/>
        <v xml:space="preserve">  91, // #13 = Pot 4 CC</v>
      </c>
      <c r="M15" s="18" t="str">
        <f t="shared" si="10"/>
        <v xml:space="preserve">  0, // #13 = Pot 4 CC</v>
      </c>
      <c r="O15" s="13"/>
    </row>
    <row r="16" spans="1:15" s="14" customFormat="1" x14ac:dyDescent="0.25">
      <c r="A16" s="2">
        <f t="shared" si="6"/>
        <v>14</v>
      </c>
      <c r="B16" s="1" t="s">
        <v>90</v>
      </c>
      <c r="C16" s="1">
        <v>0</v>
      </c>
      <c r="D16" s="1">
        <v>-1</v>
      </c>
      <c r="E16" s="21">
        <f t="shared" si="24"/>
        <v>127</v>
      </c>
      <c r="F16" s="1">
        <v>-1</v>
      </c>
      <c r="G16" s="16" t="s">
        <v>78</v>
      </c>
      <c r="H16" s="18" t="str">
        <f t="shared" ref="H16:H27" si="25">CONCATENATE("  ",G16,", // #",A16," = ",B16,IF(C16&lt;0," EXIT ",""))</f>
        <v xml:space="preserve">  m_CC5, // #14 = Pot 5 CC</v>
      </c>
      <c r="I16" s="1" t="str">
        <f t="shared" ref="I16:I27" si="26">CONCATENATE("  { """,B16,""" },  // #",A16," ",IF(C16&lt;0," EXIT SUBM",""))</f>
        <v xml:space="preserve">  { "Pot 5 CC" },  // #14 </v>
      </c>
      <c r="J16" s="18" t="str">
        <f t="shared" ref="J16:J27" si="27">CONCATENATE("  ",D16,", // #",A16," = ",B16,IF(C16&lt;0," EXIT ",""))</f>
        <v xml:space="preserve">  -1, // #14 = Pot 5 CC</v>
      </c>
      <c r="K16" s="18" t="str">
        <f t="shared" ref="K16:K27" si="28">CONCATENATE("  ",E16,", // #",A16," = ",B16,IF(C16&lt;0," EXIT ",""))</f>
        <v xml:space="preserve">  127, // #14 = Pot 5 CC</v>
      </c>
      <c r="L16" s="18" t="str">
        <f t="shared" ref="L16:L27" si="29">CONCATENATE("  ",F16,", // #",A16," = ",B16,IF(C16&lt;0," EXIT ",""))</f>
        <v xml:space="preserve">  -1, // #14 = Pot 5 CC</v>
      </c>
      <c r="M16" s="18" t="str">
        <f t="shared" ref="M16:M27" si="30">CONCATENATE("  ",C16,", // #",A16," = ",B16,IF(C16&lt;0," EXIT ",""))</f>
        <v xml:space="preserve">  0, // #14 = Pot 5 CC</v>
      </c>
      <c r="N16" s="28"/>
      <c r="O16" s="13"/>
    </row>
    <row r="17" spans="1:15" x14ac:dyDescent="0.25">
      <c r="A17" s="2">
        <f t="shared" si="6"/>
        <v>15</v>
      </c>
      <c r="B17" s="1" t="s">
        <v>91</v>
      </c>
      <c r="C17" s="1">
        <v>0</v>
      </c>
      <c r="D17" s="1">
        <v>-1</v>
      </c>
      <c r="E17" s="21">
        <f t="shared" si="24"/>
        <v>127</v>
      </c>
      <c r="F17" s="1">
        <v>-1</v>
      </c>
      <c r="G17" s="16" t="s">
        <v>79</v>
      </c>
      <c r="H17" s="18" t="str">
        <f t="shared" si="25"/>
        <v xml:space="preserve">  m_CC6, // #15 = Pot 6 CC</v>
      </c>
      <c r="I17" s="1" t="str">
        <f t="shared" si="26"/>
        <v xml:space="preserve">  { "Pot 6 CC" },  // #15 </v>
      </c>
      <c r="J17" s="18" t="str">
        <f t="shared" si="27"/>
        <v xml:space="preserve">  -1, // #15 = Pot 6 CC</v>
      </c>
      <c r="K17" s="18" t="str">
        <f t="shared" si="28"/>
        <v xml:space="preserve">  127, // #15 = Pot 6 CC</v>
      </c>
      <c r="L17" s="18" t="str">
        <f t="shared" si="29"/>
        <v xml:space="preserve">  -1, // #15 = Pot 6 CC</v>
      </c>
      <c r="M17" s="18" t="str">
        <f t="shared" si="30"/>
        <v xml:space="preserve">  0, // #15 = Pot 6 CC</v>
      </c>
      <c r="O17" s="13"/>
    </row>
    <row r="18" spans="1:15" x14ac:dyDescent="0.25">
      <c r="A18" s="2">
        <f t="shared" si="6"/>
        <v>16</v>
      </c>
      <c r="B18" s="1" t="s">
        <v>92</v>
      </c>
      <c r="C18" s="1">
        <v>0</v>
      </c>
      <c r="D18" s="1">
        <v>-1</v>
      </c>
      <c r="E18" s="21">
        <f t="shared" si="24"/>
        <v>127</v>
      </c>
      <c r="F18" s="1">
        <v>-1</v>
      </c>
      <c r="G18" s="16" t="s">
        <v>80</v>
      </c>
      <c r="H18" s="18" t="str">
        <f t="shared" si="25"/>
        <v xml:space="preserve">  m_CC7, // #16 = Pot 7 CC</v>
      </c>
      <c r="I18" s="1" t="str">
        <f t="shared" si="26"/>
        <v xml:space="preserve">  { "Pot 7 CC" },  // #16 </v>
      </c>
      <c r="J18" s="18" t="str">
        <f t="shared" si="27"/>
        <v xml:space="preserve">  -1, // #16 = Pot 7 CC</v>
      </c>
      <c r="K18" s="18" t="str">
        <f t="shared" si="28"/>
        <v xml:space="preserve">  127, // #16 = Pot 7 CC</v>
      </c>
      <c r="L18" s="18" t="str">
        <f t="shared" si="29"/>
        <v xml:space="preserve">  -1, // #16 = Pot 7 CC</v>
      </c>
      <c r="M18" s="18" t="str">
        <f t="shared" si="30"/>
        <v xml:space="preserve">  0, // #16 = Pot 7 CC</v>
      </c>
      <c r="O18" s="13"/>
    </row>
    <row r="19" spans="1:15" x14ac:dyDescent="0.25">
      <c r="A19" s="2">
        <f t="shared" si="6"/>
        <v>17</v>
      </c>
      <c r="B19" s="1" t="s">
        <v>93</v>
      </c>
      <c r="C19" s="1">
        <v>0</v>
      </c>
      <c r="D19" s="1">
        <v>-1</v>
      </c>
      <c r="E19" s="21">
        <f t="shared" si="24"/>
        <v>127</v>
      </c>
      <c r="F19" s="1">
        <v>-1</v>
      </c>
      <c r="G19" s="16" t="s">
        <v>81</v>
      </c>
      <c r="H19" s="18" t="str">
        <f t="shared" si="25"/>
        <v xml:space="preserve">  m_CC8, // #17 = Pot 8 CC</v>
      </c>
      <c r="I19" s="1" t="str">
        <f t="shared" si="26"/>
        <v xml:space="preserve">  { "Pot 8 CC" },  // #17 </v>
      </c>
      <c r="J19" s="18" t="str">
        <f t="shared" si="27"/>
        <v xml:space="preserve">  -1, // #17 = Pot 8 CC</v>
      </c>
      <c r="K19" s="18" t="str">
        <f t="shared" si="28"/>
        <v xml:space="preserve">  127, // #17 = Pot 8 CC</v>
      </c>
      <c r="L19" s="18" t="str">
        <f t="shared" si="29"/>
        <v xml:space="preserve">  -1, // #17 = Pot 8 CC</v>
      </c>
      <c r="M19" s="18" t="str">
        <f t="shared" si="30"/>
        <v xml:space="preserve">  0, // #17 = Pot 8 CC</v>
      </c>
      <c r="O19" s="13"/>
    </row>
    <row r="20" spans="1:15" x14ac:dyDescent="0.25">
      <c r="A20" s="2">
        <f t="shared" si="6"/>
        <v>18</v>
      </c>
      <c r="B20" s="1" t="s">
        <v>94</v>
      </c>
      <c r="C20" s="1">
        <v>0</v>
      </c>
      <c r="D20" s="1">
        <v>-1</v>
      </c>
      <c r="E20" s="21">
        <f t="shared" si="24"/>
        <v>127</v>
      </c>
      <c r="F20" s="1">
        <v>-1</v>
      </c>
      <c r="G20" s="16" t="s">
        <v>82</v>
      </c>
      <c r="H20" s="18" t="str">
        <f t="shared" si="25"/>
        <v xml:space="preserve">  m_CC9, // #18 = Pot 9 CC</v>
      </c>
      <c r="I20" s="1" t="str">
        <f t="shared" si="26"/>
        <v xml:space="preserve">  { "Pot 9 CC" },  // #18 </v>
      </c>
      <c r="J20" s="18" t="str">
        <f t="shared" si="27"/>
        <v xml:space="preserve">  -1, // #18 = Pot 9 CC</v>
      </c>
      <c r="K20" s="18" t="str">
        <f t="shared" si="28"/>
        <v xml:space="preserve">  127, // #18 = Pot 9 CC</v>
      </c>
      <c r="L20" s="18" t="str">
        <f t="shared" si="29"/>
        <v xml:space="preserve">  -1, // #18 = Pot 9 CC</v>
      </c>
      <c r="M20" s="18" t="str">
        <f t="shared" si="30"/>
        <v xml:space="preserve">  0, // #18 = Pot 9 CC</v>
      </c>
      <c r="O20" s="13"/>
    </row>
    <row r="21" spans="1:15" s="14" customFormat="1" x14ac:dyDescent="0.25">
      <c r="A21" s="2">
        <f t="shared" si="6"/>
        <v>19</v>
      </c>
      <c r="B21" s="1" t="s">
        <v>95</v>
      </c>
      <c r="C21" s="1">
        <v>0</v>
      </c>
      <c r="D21" s="1">
        <v>-1</v>
      </c>
      <c r="E21" s="21">
        <f t="shared" si="24"/>
        <v>127</v>
      </c>
      <c r="F21" s="1">
        <v>-1</v>
      </c>
      <c r="G21" s="16" t="s">
        <v>83</v>
      </c>
      <c r="H21" s="18" t="str">
        <f t="shared" si="25"/>
        <v xml:space="preserve">  m_CC10, // #19 = Pot 10 CC</v>
      </c>
      <c r="I21" s="1" t="str">
        <f t="shared" si="26"/>
        <v xml:space="preserve">  { "Pot 10 CC" },  // #19 </v>
      </c>
      <c r="J21" s="18" t="str">
        <f t="shared" si="27"/>
        <v xml:space="preserve">  -1, // #19 = Pot 10 CC</v>
      </c>
      <c r="K21" s="18" t="str">
        <f t="shared" si="28"/>
        <v xml:space="preserve">  127, // #19 = Pot 10 CC</v>
      </c>
      <c r="L21" s="18" t="str">
        <f t="shared" si="29"/>
        <v xml:space="preserve">  -1, // #19 = Pot 10 CC</v>
      </c>
      <c r="M21" s="18" t="str">
        <f t="shared" si="30"/>
        <v xml:space="preserve">  0, // #19 = Pot 10 CC</v>
      </c>
      <c r="N21" s="28"/>
      <c r="O21" s="13"/>
    </row>
    <row r="22" spans="1:15" x14ac:dyDescent="0.25">
      <c r="A22" s="2">
        <f t="shared" si="6"/>
        <v>20</v>
      </c>
      <c r="B22" s="1" t="s">
        <v>96</v>
      </c>
      <c r="C22" s="1">
        <v>0</v>
      </c>
      <c r="D22" s="1">
        <v>-1</v>
      </c>
      <c r="E22" s="21">
        <f t="shared" si="24"/>
        <v>127</v>
      </c>
      <c r="F22" s="1">
        <v>-1</v>
      </c>
      <c r="G22" s="16" t="s">
        <v>84</v>
      </c>
      <c r="H22" s="18" t="str">
        <f t="shared" si="25"/>
        <v xml:space="preserve">  m_CC11, // #20 = Pot 11 CC</v>
      </c>
      <c r="I22" s="1" t="str">
        <f t="shared" si="26"/>
        <v xml:space="preserve">  { "Pot 11 CC" },  // #20 </v>
      </c>
      <c r="J22" s="18" t="str">
        <f t="shared" si="27"/>
        <v xml:space="preserve">  -1, // #20 = Pot 11 CC</v>
      </c>
      <c r="K22" s="18" t="str">
        <f t="shared" si="28"/>
        <v xml:space="preserve">  127, // #20 = Pot 11 CC</v>
      </c>
      <c r="L22" s="18" t="str">
        <f t="shared" si="29"/>
        <v xml:space="preserve">  -1, // #20 = Pot 11 CC</v>
      </c>
      <c r="M22" s="18" t="str">
        <f t="shared" si="30"/>
        <v xml:space="preserve">  0, // #20 = Pot 11 CC</v>
      </c>
      <c r="O22" s="13"/>
    </row>
    <row r="23" spans="1:15" x14ac:dyDescent="0.25">
      <c r="A23" s="2">
        <f t="shared" si="6"/>
        <v>21</v>
      </c>
      <c r="B23" s="1" t="s">
        <v>97</v>
      </c>
      <c r="C23" s="1">
        <v>0</v>
      </c>
      <c r="D23" s="1">
        <v>-1</v>
      </c>
      <c r="E23" s="21">
        <f t="shared" si="24"/>
        <v>127</v>
      </c>
      <c r="F23" s="1">
        <v>-1</v>
      </c>
      <c r="G23" s="16" t="s">
        <v>85</v>
      </c>
      <c r="H23" s="18" t="str">
        <f t="shared" si="25"/>
        <v xml:space="preserve">  m_CC12, // #21 = Pot 12 CC</v>
      </c>
      <c r="I23" s="1" t="str">
        <f t="shared" si="26"/>
        <v xml:space="preserve">  { "Pot 12 CC" },  // #21 </v>
      </c>
      <c r="J23" s="18" t="str">
        <f t="shared" si="27"/>
        <v xml:space="preserve">  -1, // #21 = Pot 12 CC</v>
      </c>
      <c r="K23" s="18" t="str">
        <f t="shared" si="28"/>
        <v xml:space="preserve">  127, // #21 = Pot 12 CC</v>
      </c>
      <c r="L23" s="18" t="str">
        <f t="shared" si="29"/>
        <v xml:space="preserve">  -1, // #21 = Pot 12 CC</v>
      </c>
      <c r="M23" s="18" t="str">
        <f t="shared" si="30"/>
        <v xml:space="preserve">  0, // #21 = Pot 12 CC</v>
      </c>
      <c r="O23" s="13"/>
    </row>
    <row r="24" spans="1:15" x14ac:dyDescent="0.25">
      <c r="A24" s="2">
        <f t="shared" si="6"/>
        <v>22</v>
      </c>
      <c r="B24" s="1" t="s">
        <v>98</v>
      </c>
      <c r="C24" s="1">
        <v>0</v>
      </c>
      <c r="D24" s="1">
        <v>-1</v>
      </c>
      <c r="E24" s="21">
        <f t="shared" si="24"/>
        <v>127</v>
      </c>
      <c r="F24" s="1">
        <v>-1</v>
      </c>
      <c r="G24" s="16" t="s">
        <v>86</v>
      </c>
      <c r="H24" s="18" t="str">
        <f t="shared" si="25"/>
        <v xml:space="preserve">  m_CC13, // #22 = Pot 13 CC</v>
      </c>
      <c r="I24" s="1" t="str">
        <f t="shared" si="26"/>
        <v xml:space="preserve">  { "Pot 13 CC" },  // #22 </v>
      </c>
      <c r="J24" s="18" t="str">
        <f t="shared" si="27"/>
        <v xml:space="preserve">  -1, // #22 = Pot 13 CC</v>
      </c>
      <c r="K24" s="18" t="str">
        <f t="shared" si="28"/>
        <v xml:space="preserve">  127, // #22 = Pot 13 CC</v>
      </c>
      <c r="L24" s="18" t="str">
        <f t="shared" si="29"/>
        <v xml:space="preserve">  -1, // #22 = Pot 13 CC</v>
      </c>
      <c r="M24" s="18" t="str">
        <f t="shared" si="30"/>
        <v xml:space="preserve">  0, // #22 = Pot 13 CC</v>
      </c>
      <c r="O24" s="13"/>
    </row>
    <row r="25" spans="1:15" x14ac:dyDescent="0.25">
      <c r="A25" s="2">
        <f t="shared" si="6"/>
        <v>23</v>
      </c>
      <c r="B25" s="1" t="s">
        <v>99</v>
      </c>
      <c r="C25" s="1">
        <v>0</v>
      </c>
      <c r="D25" s="1">
        <v>-1</v>
      </c>
      <c r="E25" s="21">
        <f t="shared" si="24"/>
        <v>127</v>
      </c>
      <c r="F25" s="1">
        <v>-1</v>
      </c>
      <c r="G25" s="16" t="s">
        <v>87</v>
      </c>
      <c r="H25" s="18" t="str">
        <f t="shared" si="25"/>
        <v xml:space="preserve">  m_CC14, // #23 = Pot 14 CC</v>
      </c>
      <c r="I25" s="1" t="str">
        <f t="shared" si="26"/>
        <v xml:space="preserve">  { "Pot 14 CC" },  // #23 </v>
      </c>
      <c r="J25" s="18" t="str">
        <f t="shared" si="27"/>
        <v xml:space="preserve">  -1, // #23 = Pot 14 CC</v>
      </c>
      <c r="K25" s="18" t="str">
        <f t="shared" si="28"/>
        <v xml:space="preserve">  127, // #23 = Pot 14 CC</v>
      </c>
      <c r="L25" s="18" t="str">
        <f t="shared" si="29"/>
        <v xml:space="preserve">  -1, // #23 = Pot 14 CC</v>
      </c>
      <c r="M25" s="18" t="str">
        <f t="shared" si="30"/>
        <v xml:space="preserve">  0, // #23 = Pot 14 CC</v>
      </c>
      <c r="O25" s="13"/>
    </row>
    <row r="26" spans="1:15" x14ac:dyDescent="0.25">
      <c r="A26" s="2">
        <f t="shared" si="6"/>
        <v>24</v>
      </c>
      <c r="B26" s="1" t="s">
        <v>100</v>
      </c>
      <c r="C26" s="1">
        <v>0</v>
      </c>
      <c r="D26" s="1">
        <v>-1</v>
      </c>
      <c r="E26" s="21">
        <f t="shared" si="24"/>
        <v>127</v>
      </c>
      <c r="F26" s="1">
        <v>-1</v>
      </c>
      <c r="G26" s="16" t="s">
        <v>88</v>
      </c>
      <c r="H26" s="18" t="str">
        <f t="shared" si="25"/>
        <v xml:space="preserve">  m_CC15, // #24 = Pot 15 CC</v>
      </c>
      <c r="I26" s="1" t="str">
        <f t="shared" si="26"/>
        <v xml:space="preserve">  { "Pot 15 CC" },  // #24 </v>
      </c>
      <c r="J26" s="18" t="str">
        <f t="shared" si="27"/>
        <v xml:space="preserve">  -1, // #24 = Pot 15 CC</v>
      </c>
      <c r="K26" s="18" t="str">
        <f t="shared" si="28"/>
        <v xml:space="preserve">  127, // #24 = Pot 15 CC</v>
      </c>
      <c r="L26" s="18" t="str">
        <f t="shared" si="29"/>
        <v xml:space="preserve">  -1, // #24 = Pot 15 CC</v>
      </c>
      <c r="M26" s="18" t="str">
        <f t="shared" si="30"/>
        <v xml:space="preserve">  0, // #24 = Pot 15 CC</v>
      </c>
      <c r="O26" s="13"/>
    </row>
    <row r="27" spans="1:15" x14ac:dyDescent="0.25">
      <c r="A27" s="2">
        <f t="shared" si="6"/>
        <v>25</v>
      </c>
      <c r="B27" s="1" t="s">
        <v>101</v>
      </c>
      <c r="C27" s="1">
        <v>0</v>
      </c>
      <c r="D27" s="1">
        <v>-1</v>
      </c>
      <c r="E27" s="21">
        <f t="shared" si="24"/>
        <v>127</v>
      </c>
      <c r="F27" s="1">
        <v>-1</v>
      </c>
      <c r="G27" s="16" t="s">
        <v>89</v>
      </c>
      <c r="H27" s="18" t="str">
        <f t="shared" si="25"/>
        <v xml:space="preserve">  m_CC16, // #25 = Pot 16 CC</v>
      </c>
      <c r="I27" s="1" t="str">
        <f t="shared" si="26"/>
        <v xml:space="preserve">  { "Pot 16 CC" },  // #25 </v>
      </c>
      <c r="J27" s="18" t="str">
        <f t="shared" si="27"/>
        <v xml:space="preserve">  -1, // #25 = Pot 16 CC</v>
      </c>
      <c r="K27" s="18" t="str">
        <f t="shared" si="28"/>
        <v xml:space="preserve">  127, // #25 = Pot 16 CC</v>
      </c>
      <c r="L27" s="18" t="str">
        <f t="shared" si="29"/>
        <v xml:space="preserve">  -1, // #25 = Pot 16 CC</v>
      </c>
      <c r="M27" s="18" t="str">
        <f t="shared" si="30"/>
        <v xml:space="preserve">  0, // #25 = Pot 16 CC</v>
      </c>
      <c r="O27" s="13"/>
    </row>
    <row r="28" spans="1:15" x14ac:dyDescent="0.25">
      <c r="A28" s="2">
        <f t="shared" si="6"/>
        <v>26</v>
      </c>
      <c r="B28" s="22" t="s">
        <v>159</v>
      </c>
      <c r="C28" s="22">
        <v>-1</v>
      </c>
      <c r="D28" s="22">
        <v>0</v>
      </c>
      <c r="E28" s="22">
        <v>0</v>
      </c>
      <c r="F28" s="22">
        <v>0</v>
      </c>
      <c r="G28" s="26" t="s">
        <v>55</v>
      </c>
      <c r="H28" s="26" t="str">
        <f>CONCATENATE("  ",G28,", // #",A28," = ",B28,IF(C28&lt;0," EXIT ",""))</f>
        <v xml:space="preserve">  m_cc_back, // #26 = (Pot CC) EXIT </v>
      </c>
      <c r="I28" s="22" t="str">
        <f>CONCATENATE("  { """,B28,""" },  // #",A28," ",IF(C28&lt;0," EXIT SUBM",""))</f>
        <v xml:space="preserve">  { "(Pot CC)" },  // #26  EXIT SUBM</v>
      </c>
      <c r="J28" s="26" t="str">
        <f>CONCATENATE("  ",D28,", // #",A28," = ",B28,IF(C28&lt;0," EXIT ",""))</f>
        <v xml:space="preserve">  0, // #26 = (Pot CC) EXIT </v>
      </c>
      <c r="K28" s="26" t="str">
        <f>CONCATENATE("  ",E28,", // #",A28," = ",B28,IF(C28&lt;0," EXIT ",""))</f>
        <v xml:space="preserve">  0, // #26 = (Pot CC) EXIT </v>
      </c>
      <c r="L28" s="26" t="str">
        <f>CONCATENATE("  ",F28,", // #",A28," = ",B28,IF(C28&lt;0," EXIT ",""))</f>
        <v xml:space="preserve">  0, // #26 = (Pot CC) EXIT </v>
      </c>
      <c r="M28" s="26" t="str">
        <f>CONCATENATE("  ",C28,", // #",A28," = ",B28,IF(C28&lt;0," EXIT ",""))</f>
        <v xml:space="preserve">  -1, // #26 = (Pot CC) EXIT </v>
      </c>
      <c r="N28" s="28" t="s">
        <v>166</v>
      </c>
      <c r="O28" s="13"/>
    </row>
    <row r="29" spans="1:15" s="14" customFormat="1" x14ac:dyDescent="0.25">
      <c r="A29" s="2">
        <f t="shared" si="6"/>
        <v>27</v>
      </c>
      <c r="B29" s="23" t="s">
        <v>139</v>
      </c>
      <c r="C29" s="20">
        <v>0</v>
      </c>
      <c r="D29" s="20">
        <v>-1</v>
      </c>
      <c r="E29" s="20">
        <v>127</v>
      </c>
      <c r="F29" s="1">
        <v>20</v>
      </c>
      <c r="G29" s="16" t="s">
        <v>56</v>
      </c>
      <c r="H29" s="18" t="str">
        <f>CONCATENATE("  ",G29,", // #",A29," = ",B29,IF(C29&lt;0," EXIT ",""))</f>
        <v xml:space="preserve">  m_btn1, // #27 = Btn 1 CC/Prg</v>
      </c>
      <c r="I29" s="1" t="str">
        <f>CONCATENATE("  { """,B29,""" },  // #",A29," ",IF(C29&lt;0," EXIT SUBM",""))</f>
        <v xml:space="preserve">  { "Btn 1 CC/Prg" },  // #27 </v>
      </c>
      <c r="J29" s="18" t="str">
        <f>CONCATENATE("  ",D29,", // #",A29," = ",B29,IF(C29&lt;0," EXIT ",""))</f>
        <v xml:space="preserve">  -1, // #27 = Btn 1 CC/Prg</v>
      </c>
      <c r="K29" s="18" t="str">
        <f>CONCATENATE("  ",E29,", // #",A29," = ",B29,IF(C29&lt;0," EXIT ",""))</f>
        <v xml:space="preserve">  127, // #27 = Btn 1 CC/Prg</v>
      </c>
      <c r="L29" s="18" t="str">
        <f>CONCATENATE("  ",F29,", // #",A29," = ",B29,IF(C29&lt;0," EXIT ",""))</f>
        <v xml:space="preserve">  20, // #27 = Btn 1 CC/Prg</v>
      </c>
      <c r="M29" s="18" t="str">
        <f>CONCATENATE("  ",C29,", // #",A29," = ",B29,IF(C29&lt;0," EXIT ",""))</f>
        <v xml:space="preserve">  0, // #27 = Btn 1 CC/Prg</v>
      </c>
      <c r="N29" s="28" t="s">
        <v>167</v>
      </c>
      <c r="O29" s="13"/>
    </row>
    <row r="30" spans="1:15" x14ac:dyDescent="0.25">
      <c r="A30" s="2">
        <f t="shared" si="6"/>
        <v>28</v>
      </c>
      <c r="B30" s="1" t="s">
        <v>140</v>
      </c>
      <c r="C30" s="1">
        <v>0</v>
      </c>
      <c r="D30" s="1">
        <v>-1</v>
      </c>
      <c r="E30" s="21">
        <f>E29</f>
        <v>127</v>
      </c>
      <c r="F30" s="1">
        <v>21</v>
      </c>
      <c r="G30" s="16" t="s">
        <v>57</v>
      </c>
      <c r="H30" s="18" t="str">
        <f>CONCATENATE("  ",G30,", // #",A30," = ",B30,IF(C30&lt;0," EXIT ",""))</f>
        <v xml:space="preserve">  m_btn2, // #28 = Btn 2 CC/Prg</v>
      </c>
      <c r="I30" s="1" t="str">
        <f>CONCATENATE("  { """,B30,""" },  // #",A30," ",IF(C30&lt;0," EXIT SUBM",""))</f>
        <v xml:space="preserve">  { "Btn 2 CC/Prg" },  // #28 </v>
      </c>
      <c r="J30" s="18" t="str">
        <f>CONCATENATE("  ",D30,", // #",A30," = ",B30,IF(C30&lt;0," EXIT ",""))</f>
        <v xml:space="preserve">  -1, // #28 = Btn 2 CC/Prg</v>
      </c>
      <c r="K30" s="18" t="str">
        <f>CONCATENATE("  ",E30,", // #",A30," = ",B30,IF(C30&lt;0," EXIT ",""))</f>
        <v xml:space="preserve">  127, // #28 = Btn 2 CC/Prg</v>
      </c>
      <c r="L30" s="18" t="str">
        <f>CONCATENATE("  ",F30,", // #",A30," = ",B30,IF(C30&lt;0," EXIT ",""))</f>
        <v xml:space="preserve">  21, // #28 = Btn 2 CC/Prg</v>
      </c>
      <c r="M30" s="18" t="str">
        <f>CONCATENATE("  ",C30,", // #",A30," = ",B30,IF(C30&lt;0," EXIT ",""))</f>
        <v xml:space="preserve">  0, // #28 = Btn 2 CC/Prg</v>
      </c>
      <c r="O30" s="13"/>
    </row>
    <row r="31" spans="1:15" x14ac:dyDescent="0.25">
      <c r="A31" s="2">
        <f t="shared" si="6"/>
        <v>29</v>
      </c>
      <c r="B31" s="1" t="s">
        <v>141</v>
      </c>
      <c r="C31" s="1">
        <v>0</v>
      </c>
      <c r="D31" s="1">
        <v>-1</v>
      </c>
      <c r="E31" s="21">
        <f t="shared" ref="E31:E44" si="31">E30</f>
        <v>127</v>
      </c>
      <c r="F31" s="1">
        <v>22</v>
      </c>
      <c r="G31" s="16" t="s">
        <v>58</v>
      </c>
      <c r="H31" s="18" t="str">
        <f>CONCATENATE("  ",G31,", // #",A31," = ",B31,IF(C31&lt;0," EXIT ",""))</f>
        <v xml:space="preserve">  m_btn3, // #29 = Btn 3 CC/Prg</v>
      </c>
      <c r="I31" s="1" t="str">
        <f>CONCATENATE("  { """,B31,""" },  // #",A31," ",IF(C31&lt;0," EXIT SUBM",""))</f>
        <v xml:space="preserve">  { "Btn 3 CC/Prg" },  // #29 </v>
      </c>
      <c r="J31" s="18" t="str">
        <f>CONCATENATE("  ",D31,", // #",A31," = ",B31,IF(C31&lt;0," EXIT ",""))</f>
        <v xml:space="preserve">  -1, // #29 = Btn 3 CC/Prg</v>
      </c>
      <c r="K31" s="18" t="str">
        <f>CONCATENATE("  ",E31,", // #",A31," = ",B31,IF(C31&lt;0," EXIT ",""))</f>
        <v xml:space="preserve">  127, // #29 = Btn 3 CC/Prg</v>
      </c>
      <c r="L31" s="18" t="str">
        <f>CONCATENATE("  ",F31,", // #",A31," = ",B31,IF(C31&lt;0," EXIT ",""))</f>
        <v xml:space="preserve">  22, // #29 = Btn 3 CC/Prg</v>
      </c>
      <c r="M31" s="18" t="str">
        <f>CONCATENATE("  ",C31,", // #",A31," = ",B31,IF(C31&lt;0," EXIT ",""))</f>
        <v xml:space="preserve">  0, // #29 = Btn 3 CC/Prg</v>
      </c>
      <c r="O31" s="13"/>
    </row>
    <row r="32" spans="1:15" x14ac:dyDescent="0.25">
      <c r="A32" s="2">
        <f t="shared" si="6"/>
        <v>30</v>
      </c>
      <c r="B32" s="1" t="s">
        <v>142</v>
      </c>
      <c r="C32" s="1">
        <v>0</v>
      </c>
      <c r="D32" s="1">
        <v>-1</v>
      </c>
      <c r="E32" s="21">
        <f t="shared" si="31"/>
        <v>127</v>
      </c>
      <c r="F32" s="1">
        <v>23</v>
      </c>
      <c r="G32" s="16" t="s">
        <v>65</v>
      </c>
      <c r="H32" s="18" t="str">
        <f>CONCATENATE("  ",G32,", // #",A32," = ",B32,IF(C32&lt;0," EXIT ",""))</f>
        <v xml:space="preserve">  m_btn4, // #30 = Btn 4 CC/Prg</v>
      </c>
      <c r="I32" s="1" t="str">
        <f>CONCATENATE("  { """,B32,""" },  // #",A32," ",IF(C32&lt;0," EXIT SUBM",""))</f>
        <v xml:space="preserve">  { "Btn 4 CC/Prg" },  // #30 </v>
      </c>
      <c r="J32" s="18" t="str">
        <f>CONCATENATE("  ",D32,", // #",A32," = ",B32,IF(C32&lt;0," EXIT ",""))</f>
        <v xml:space="preserve">  -1, // #30 = Btn 4 CC/Prg</v>
      </c>
      <c r="K32" s="18" t="str">
        <f>CONCATENATE("  ",E32,", // #",A32," = ",B32,IF(C32&lt;0," EXIT ",""))</f>
        <v xml:space="preserve">  127, // #30 = Btn 4 CC/Prg</v>
      </c>
      <c r="L32" s="18" t="str">
        <f>CONCATENATE("  ",F32,", // #",A32," = ",B32,IF(C32&lt;0," EXIT ",""))</f>
        <v xml:space="preserve">  23, // #30 = Btn 4 CC/Prg</v>
      </c>
      <c r="M32" s="18" t="str">
        <f>CONCATENATE("  ",C32,", // #",A32," = ",B32,IF(C32&lt;0," EXIT ",""))</f>
        <v xml:space="preserve">  0, // #30 = Btn 4 CC/Prg</v>
      </c>
      <c r="O32" s="13"/>
    </row>
    <row r="33" spans="1:15" x14ac:dyDescent="0.25">
      <c r="A33" s="2">
        <f t="shared" si="6"/>
        <v>31</v>
      </c>
      <c r="B33" s="1" t="s">
        <v>143</v>
      </c>
      <c r="C33" s="1">
        <v>0</v>
      </c>
      <c r="D33" s="1">
        <v>-1</v>
      </c>
      <c r="E33" s="21">
        <f t="shared" si="31"/>
        <v>127</v>
      </c>
      <c r="F33" s="1">
        <v>24</v>
      </c>
      <c r="G33" s="16" t="s">
        <v>66</v>
      </c>
      <c r="H33" s="18" t="str">
        <f t="shared" ref="H33:H44" si="32">CONCATENATE("  ",G33,", // #",A33," = ",B33,IF(C33&lt;0," EXIT ",""))</f>
        <v xml:space="preserve">  m_btn5, // #31 = Btn 5 CC/Prg</v>
      </c>
      <c r="I33" s="1" t="str">
        <f t="shared" ref="I33:I44" si="33">CONCATENATE("  { """,B33,""" },  // #",A33," ",IF(C33&lt;0," EXIT SUBM",""))</f>
        <v xml:space="preserve">  { "Btn 5 CC/Prg" },  // #31 </v>
      </c>
      <c r="J33" s="18" t="str">
        <f t="shared" ref="J33:J44" si="34">CONCATENATE("  ",D33,", // #",A33," = ",B33,IF(C33&lt;0," EXIT ",""))</f>
        <v xml:space="preserve">  -1, // #31 = Btn 5 CC/Prg</v>
      </c>
      <c r="K33" s="18" t="str">
        <f t="shared" ref="K33:K44" si="35">CONCATENATE("  ",E33,", // #",A33," = ",B33,IF(C33&lt;0," EXIT ",""))</f>
        <v xml:space="preserve">  127, // #31 = Btn 5 CC/Prg</v>
      </c>
      <c r="L33" s="18" t="str">
        <f t="shared" ref="L33:L44" si="36">CONCATENATE("  ",F33,", // #",A33," = ",B33,IF(C33&lt;0," EXIT ",""))</f>
        <v xml:space="preserve">  24, // #31 = Btn 5 CC/Prg</v>
      </c>
      <c r="M33" s="18" t="str">
        <f t="shared" ref="M33:M44" si="37">CONCATENATE("  ",C33,", // #",A33," = ",B33,IF(C33&lt;0," EXIT ",""))</f>
        <v xml:space="preserve">  0, // #31 = Btn 5 CC/Prg</v>
      </c>
      <c r="O33" s="13"/>
    </row>
    <row r="34" spans="1:15" x14ac:dyDescent="0.25">
      <c r="A34" s="2">
        <f t="shared" si="6"/>
        <v>32</v>
      </c>
      <c r="B34" s="1" t="s">
        <v>144</v>
      </c>
      <c r="C34" s="1">
        <v>0</v>
      </c>
      <c r="D34" s="1">
        <v>-1</v>
      </c>
      <c r="E34" s="21">
        <f t="shared" si="31"/>
        <v>127</v>
      </c>
      <c r="F34" s="1">
        <v>25</v>
      </c>
      <c r="G34" s="16" t="s">
        <v>67</v>
      </c>
      <c r="H34" s="18" t="str">
        <f t="shared" si="32"/>
        <v xml:space="preserve">  m_btn6, // #32 = Btn 6 CC/Prg</v>
      </c>
      <c r="I34" s="1" t="str">
        <f t="shared" si="33"/>
        <v xml:space="preserve">  { "Btn 6 CC/Prg" },  // #32 </v>
      </c>
      <c r="J34" s="18" t="str">
        <f t="shared" si="34"/>
        <v xml:space="preserve">  -1, // #32 = Btn 6 CC/Prg</v>
      </c>
      <c r="K34" s="18" t="str">
        <f t="shared" si="35"/>
        <v xml:space="preserve">  127, // #32 = Btn 6 CC/Prg</v>
      </c>
      <c r="L34" s="18" t="str">
        <f t="shared" si="36"/>
        <v xml:space="preserve">  25, // #32 = Btn 6 CC/Prg</v>
      </c>
      <c r="M34" s="18" t="str">
        <f t="shared" si="37"/>
        <v xml:space="preserve">  0, // #32 = Btn 6 CC/Prg</v>
      </c>
      <c r="O34" s="13"/>
    </row>
    <row r="35" spans="1:15" x14ac:dyDescent="0.25">
      <c r="A35" s="2">
        <f t="shared" si="6"/>
        <v>33</v>
      </c>
      <c r="B35" s="1" t="s">
        <v>145</v>
      </c>
      <c r="C35" s="1">
        <v>0</v>
      </c>
      <c r="D35" s="1">
        <v>-1</v>
      </c>
      <c r="E35" s="21">
        <f t="shared" si="31"/>
        <v>127</v>
      </c>
      <c r="F35" s="1">
        <v>26</v>
      </c>
      <c r="G35" s="16" t="s">
        <v>68</v>
      </c>
      <c r="H35" s="18" t="str">
        <f t="shared" si="32"/>
        <v xml:space="preserve">  m_btn7, // #33 = Btn 7 CC/Prg</v>
      </c>
      <c r="I35" s="1" t="str">
        <f t="shared" si="33"/>
        <v xml:space="preserve">  { "Btn 7 CC/Prg" },  // #33 </v>
      </c>
      <c r="J35" s="18" t="str">
        <f t="shared" si="34"/>
        <v xml:space="preserve">  -1, // #33 = Btn 7 CC/Prg</v>
      </c>
      <c r="K35" s="18" t="str">
        <f t="shared" si="35"/>
        <v xml:space="preserve">  127, // #33 = Btn 7 CC/Prg</v>
      </c>
      <c r="L35" s="18" t="str">
        <f t="shared" si="36"/>
        <v xml:space="preserve">  26, // #33 = Btn 7 CC/Prg</v>
      </c>
      <c r="M35" s="18" t="str">
        <f t="shared" si="37"/>
        <v xml:space="preserve">  0, // #33 = Btn 7 CC/Prg</v>
      </c>
      <c r="O35" s="13"/>
    </row>
    <row r="36" spans="1:15" x14ac:dyDescent="0.25">
      <c r="A36" s="2">
        <f t="shared" si="6"/>
        <v>34</v>
      </c>
      <c r="B36" s="1" t="s">
        <v>146</v>
      </c>
      <c r="C36" s="1">
        <v>0</v>
      </c>
      <c r="D36" s="1">
        <v>-1</v>
      </c>
      <c r="E36" s="21">
        <f t="shared" si="31"/>
        <v>127</v>
      </c>
      <c r="F36" s="1">
        <v>27</v>
      </c>
      <c r="G36" s="16" t="s">
        <v>69</v>
      </c>
      <c r="H36" s="18" t="str">
        <f t="shared" si="32"/>
        <v xml:space="preserve">  m_btn8, // #34 = Btn 8 CC/Prg</v>
      </c>
      <c r="I36" s="1" t="str">
        <f t="shared" si="33"/>
        <v xml:space="preserve">  { "Btn 8 CC/Prg" },  // #34 </v>
      </c>
      <c r="J36" s="18" t="str">
        <f t="shared" si="34"/>
        <v xml:space="preserve">  -1, // #34 = Btn 8 CC/Prg</v>
      </c>
      <c r="K36" s="18" t="str">
        <f t="shared" si="35"/>
        <v xml:space="preserve">  127, // #34 = Btn 8 CC/Prg</v>
      </c>
      <c r="L36" s="18" t="str">
        <f t="shared" si="36"/>
        <v xml:space="preserve">  27, // #34 = Btn 8 CC/Prg</v>
      </c>
      <c r="M36" s="18" t="str">
        <f t="shared" si="37"/>
        <v xml:space="preserve">  0, // #34 = Btn 8 CC/Prg</v>
      </c>
      <c r="O36" s="17"/>
    </row>
    <row r="37" spans="1:15" x14ac:dyDescent="0.25">
      <c r="A37" s="2">
        <f t="shared" si="6"/>
        <v>35</v>
      </c>
      <c r="B37" s="1" t="s">
        <v>147</v>
      </c>
      <c r="C37" s="1">
        <v>0</v>
      </c>
      <c r="D37" s="1">
        <v>-1</v>
      </c>
      <c r="E37" s="21">
        <f t="shared" si="31"/>
        <v>127</v>
      </c>
      <c r="F37" s="1">
        <v>28</v>
      </c>
      <c r="G37" s="16" t="s">
        <v>70</v>
      </c>
      <c r="H37" s="18" t="str">
        <f t="shared" si="32"/>
        <v xml:space="preserve">  m_btn9, // #35 = Btn 9 CC/Prg</v>
      </c>
      <c r="I37" s="1" t="str">
        <f t="shared" si="33"/>
        <v xml:space="preserve">  { "Btn 9 CC/Prg" },  // #35 </v>
      </c>
      <c r="J37" s="18" t="str">
        <f t="shared" si="34"/>
        <v xml:space="preserve">  -1, // #35 = Btn 9 CC/Prg</v>
      </c>
      <c r="K37" s="18" t="str">
        <f t="shared" si="35"/>
        <v xml:space="preserve">  127, // #35 = Btn 9 CC/Prg</v>
      </c>
      <c r="L37" s="18" t="str">
        <f t="shared" si="36"/>
        <v xml:space="preserve">  28, // #35 = Btn 9 CC/Prg</v>
      </c>
      <c r="M37" s="18" t="str">
        <f t="shared" si="37"/>
        <v xml:space="preserve">  0, // #35 = Btn 9 CC/Prg</v>
      </c>
      <c r="O37" s="17"/>
    </row>
    <row r="38" spans="1:15" x14ac:dyDescent="0.25">
      <c r="A38" s="2">
        <f t="shared" si="6"/>
        <v>36</v>
      </c>
      <c r="B38" s="1" t="s">
        <v>148</v>
      </c>
      <c r="C38" s="1">
        <v>0</v>
      </c>
      <c r="D38" s="1">
        <v>-1</v>
      </c>
      <c r="E38" s="21">
        <f t="shared" si="31"/>
        <v>127</v>
      </c>
      <c r="F38" s="1">
        <v>29</v>
      </c>
      <c r="G38" s="16" t="s">
        <v>71</v>
      </c>
      <c r="H38" s="18" t="str">
        <f t="shared" si="32"/>
        <v xml:space="preserve">  m_btn10, // #36 = Btn 10 CC/Prg</v>
      </c>
      <c r="I38" s="1" t="str">
        <f t="shared" si="33"/>
        <v xml:space="preserve">  { "Btn 10 CC/Prg" },  // #36 </v>
      </c>
      <c r="J38" s="18" t="str">
        <f t="shared" si="34"/>
        <v xml:space="preserve">  -1, // #36 = Btn 10 CC/Prg</v>
      </c>
      <c r="K38" s="18" t="str">
        <f t="shared" si="35"/>
        <v xml:space="preserve">  127, // #36 = Btn 10 CC/Prg</v>
      </c>
      <c r="L38" s="18" t="str">
        <f t="shared" si="36"/>
        <v xml:space="preserve">  29, // #36 = Btn 10 CC/Prg</v>
      </c>
      <c r="M38" s="18" t="str">
        <f t="shared" si="37"/>
        <v xml:space="preserve">  0, // #36 = Btn 10 CC/Prg</v>
      </c>
      <c r="O38" s="17"/>
    </row>
    <row r="39" spans="1:15" x14ac:dyDescent="0.25">
      <c r="A39" s="2">
        <f t="shared" si="6"/>
        <v>37</v>
      </c>
      <c r="B39" s="1" t="s">
        <v>149</v>
      </c>
      <c r="C39" s="1">
        <v>0</v>
      </c>
      <c r="D39" s="1">
        <v>-1</v>
      </c>
      <c r="E39" s="21">
        <f t="shared" si="31"/>
        <v>127</v>
      </c>
      <c r="F39" s="1">
        <v>30</v>
      </c>
      <c r="G39" s="16" t="s">
        <v>72</v>
      </c>
      <c r="H39" s="18" t="str">
        <f t="shared" si="32"/>
        <v xml:space="preserve">  m_btn11, // #37 = Btn 11 CC/Prg</v>
      </c>
      <c r="I39" s="1" t="str">
        <f t="shared" si="33"/>
        <v xml:space="preserve">  { "Btn 11 CC/Prg" },  // #37 </v>
      </c>
      <c r="J39" s="18" t="str">
        <f t="shared" si="34"/>
        <v xml:space="preserve">  -1, // #37 = Btn 11 CC/Prg</v>
      </c>
      <c r="K39" s="18" t="str">
        <f t="shared" si="35"/>
        <v xml:space="preserve">  127, // #37 = Btn 11 CC/Prg</v>
      </c>
      <c r="L39" s="18" t="str">
        <f t="shared" si="36"/>
        <v xml:space="preserve">  30, // #37 = Btn 11 CC/Prg</v>
      </c>
      <c r="M39" s="18" t="str">
        <f t="shared" si="37"/>
        <v xml:space="preserve">  0, // #37 = Btn 11 CC/Prg</v>
      </c>
      <c r="O39" s="17"/>
    </row>
    <row r="40" spans="1:15" x14ac:dyDescent="0.25">
      <c r="A40" s="2">
        <f t="shared" si="6"/>
        <v>38</v>
      </c>
      <c r="B40" s="1" t="s">
        <v>150</v>
      </c>
      <c r="C40" s="1">
        <v>0</v>
      </c>
      <c r="D40" s="1">
        <v>-1</v>
      </c>
      <c r="E40" s="21">
        <f t="shared" si="31"/>
        <v>127</v>
      </c>
      <c r="F40" s="1">
        <v>31</v>
      </c>
      <c r="G40" s="16" t="s">
        <v>73</v>
      </c>
      <c r="H40" s="18" t="str">
        <f t="shared" si="32"/>
        <v xml:space="preserve">  m_btn12, // #38 = Btn 12 CC/Prg</v>
      </c>
      <c r="I40" s="1" t="str">
        <f t="shared" si="33"/>
        <v xml:space="preserve">  { "Btn 12 CC/Prg" },  // #38 </v>
      </c>
      <c r="J40" s="18" t="str">
        <f t="shared" si="34"/>
        <v xml:space="preserve">  -1, // #38 = Btn 12 CC/Prg</v>
      </c>
      <c r="K40" s="18" t="str">
        <f t="shared" si="35"/>
        <v xml:space="preserve">  127, // #38 = Btn 12 CC/Prg</v>
      </c>
      <c r="L40" s="18" t="str">
        <f t="shared" si="36"/>
        <v xml:space="preserve">  31, // #38 = Btn 12 CC/Prg</v>
      </c>
      <c r="M40" s="18" t="str">
        <f t="shared" si="37"/>
        <v xml:space="preserve">  0, // #38 = Btn 12 CC/Prg</v>
      </c>
      <c r="O40" s="17"/>
    </row>
    <row r="41" spans="1:15" x14ac:dyDescent="0.25">
      <c r="A41" s="2">
        <f t="shared" si="6"/>
        <v>39</v>
      </c>
      <c r="B41" s="1" t="s">
        <v>151</v>
      </c>
      <c r="C41" s="1">
        <v>0</v>
      </c>
      <c r="D41" s="1">
        <v>-1</v>
      </c>
      <c r="E41" s="21">
        <f t="shared" si="31"/>
        <v>127</v>
      </c>
      <c r="F41" s="1">
        <v>32</v>
      </c>
      <c r="G41" s="16" t="s">
        <v>74</v>
      </c>
      <c r="H41" s="18" t="str">
        <f t="shared" si="32"/>
        <v xml:space="preserve">  m_btn13, // #39 = Btn 13 CC/Prg</v>
      </c>
      <c r="I41" s="1" t="str">
        <f t="shared" si="33"/>
        <v xml:space="preserve">  { "Btn 13 CC/Prg" },  // #39 </v>
      </c>
      <c r="J41" s="18" t="str">
        <f t="shared" si="34"/>
        <v xml:space="preserve">  -1, // #39 = Btn 13 CC/Prg</v>
      </c>
      <c r="K41" s="18" t="str">
        <f t="shared" si="35"/>
        <v xml:space="preserve">  127, // #39 = Btn 13 CC/Prg</v>
      </c>
      <c r="L41" s="18" t="str">
        <f t="shared" si="36"/>
        <v xml:space="preserve">  32, // #39 = Btn 13 CC/Prg</v>
      </c>
      <c r="M41" s="18" t="str">
        <f t="shared" si="37"/>
        <v xml:space="preserve">  0, // #39 = Btn 13 CC/Prg</v>
      </c>
      <c r="O41" s="17"/>
    </row>
    <row r="42" spans="1:15" x14ac:dyDescent="0.25">
      <c r="A42" s="2">
        <f t="shared" si="6"/>
        <v>40</v>
      </c>
      <c r="B42" s="1" t="s">
        <v>152</v>
      </c>
      <c r="C42" s="1">
        <v>0</v>
      </c>
      <c r="D42" s="1">
        <v>-1</v>
      </c>
      <c r="E42" s="21">
        <f t="shared" si="31"/>
        <v>127</v>
      </c>
      <c r="F42" s="1">
        <v>33</v>
      </c>
      <c r="G42" s="16" t="s">
        <v>75</v>
      </c>
      <c r="H42" s="18" t="str">
        <f t="shared" si="32"/>
        <v xml:space="preserve">  m_btn14, // #40 = Btn 14 CC/Prg</v>
      </c>
      <c r="I42" s="1" t="str">
        <f t="shared" si="33"/>
        <v xml:space="preserve">  { "Btn 14 CC/Prg" },  // #40 </v>
      </c>
      <c r="J42" s="18" t="str">
        <f t="shared" si="34"/>
        <v xml:space="preserve">  -1, // #40 = Btn 14 CC/Prg</v>
      </c>
      <c r="K42" s="18" t="str">
        <f t="shared" si="35"/>
        <v xml:space="preserve">  127, // #40 = Btn 14 CC/Prg</v>
      </c>
      <c r="L42" s="18" t="str">
        <f t="shared" si="36"/>
        <v xml:space="preserve">  33, // #40 = Btn 14 CC/Prg</v>
      </c>
      <c r="M42" s="18" t="str">
        <f t="shared" si="37"/>
        <v xml:space="preserve">  0, // #40 = Btn 14 CC/Prg</v>
      </c>
      <c r="O42" s="17"/>
    </row>
    <row r="43" spans="1:15" x14ac:dyDescent="0.25">
      <c r="A43" s="2">
        <f t="shared" si="6"/>
        <v>41</v>
      </c>
      <c r="B43" s="1" t="s">
        <v>153</v>
      </c>
      <c r="C43" s="1">
        <v>0</v>
      </c>
      <c r="D43" s="1">
        <v>-1</v>
      </c>
      <c r="E43" s="21">
        <f t="shared" si="31"/>
        <v>127</v>
      </c>
      <c r="F43" s="1">
        <v>34</v>
      </c>
      <c r="G43" s="16" t="s">
        <v>76</v>
      </c>
      <c r="H43" s="18" t="str">
        <f t="shared" si="32"/>
        <v xml:space="preserve">  m_btn15, // #41 = Btn 15 CC/Prg</v>
      </c>
      <c r="I43" s="1" t="str">
        <f t="shared" si="33"/>
        <v xml:space="preserve">  { "Btn 15 CC/Prg" },  // #41 </v>
      </c>
      <c r="J43" s="18" t="str">
        <f t="shared" si="34"/>
        <v xml:space="preserve">  -1, // #41 = Btn 15 CC/Prg</v>
      </c>
      <c r="K43" s="18" t="str">
        <f t="shared" si="35"/>
        <v xml:space="preserve">  127, // #41 = Btn 15 CC/Prg</v>
      </c>
      <c r="L43" s="18" t="str">
        <f t="shared" si="36"/>
        <v xml:space="preserve">  34, // #41 = Btn 15 CC/Prg</v>
      </c>
      <c r="M43" s="18" t="str">
        <f t="shared" si="37"/>
        <v xml:space="preserve">  0, // #41 = Btn 15 CC/Prg</v>
      </c>
      <c r="O43" s="17"/>
    </row>
    <row r="44" spans="1:15" x14ac:dyDescent="0.25">
      <c r="A44" s="2">
        <f t="shared" si="6"/>
        <v>42</v>
      </c>
      <c r="B44" s="1" t="s">
        <v>154</v>
      </c>
      <c r="C44" s="1">
        <v>0</v>
      </c>
      <c r="D44" s="1">
        <v>-1</v>
      </c>
      <c r="E44" s="21">
        <f t="shared" si="31"/>
        <v>127</v>
      </c>
      <c r="F44" s="1">
        <v>35</v>
      </c>
      <c r="G44" s="16" t="s">
        <v>77</v>
      </c>
      <c r="H44" s="18" t="str">
        <f t="shared" si="32"/>
        <v xml:space="preserve">  m_btn16, // #42 = Btn 16 CC/Prg</v>
      </c>
      <c r="I44" s="1" t="str">
        <f t="shared" si="33"/>
        <v xml:space="preserve">  { "Btn 16 CC/Prg" },  // #42 </v>
      </c>
      <c r="J44" s="18" t="str">
        <f t="shared" si="34"/>
        <v xml:space="preserve">  -1, // #42 = Btn 16 CC/Prg</v>
      </c>
      <c r="K44" s="18" t="str">
        <f t="shared" si="35"/>
        <v xml:space="preserve">  127, // #42 = Btn 16 CC/Prg</v>
      </c>
      <c r="L44" s="18" t="str">
        <f t="shared" si="36"/>
        <v xml:space="preserve">  35, // #42 = Btn 16 CC/Prg</v>
      </c>
      <c r="M44" s="18" t="str">
        <f t="shared" si="37"/>
        <v xml:space="preserve">  0, // #42 = Btn 16 CC/Prg</v>
      </c>
      <c r="O44" s="17"/>
    </row>
    <row r="45" spans="1:15" x14ac:dyDescent="0.25">
      <c r="A45" s="2">
        <f t="shared" si="6"/>
        <v>43</v>
      </c>
      <c r="B45" s="22" t="s">
        <v>160</v>
      </c>
      <c r="C45" s="22">
        <v>-1</v>
      </c>
      <c r="D45" s="22">
        <v>0</v>
      </c>
      <c r="E45" s="22">
        <v>0</v>
      </c>
      <c r="F45" s="22">
        <v>0</v>
      </c>
      <c r="G45" s="26" t="s">
        <v>14</v>
      </c>
      <c r="H45" s="26" t="str">
        <f t="shared" ref="H45" si="38">CONCATENATE("  ",G45,", // #",A45," = ",B45,IF(C45&lt;0," EXIT ",""))</f>
        <v xml:space="preserve">  m_btn_back, // #43 = (Btn CC) EXIT </v>
      </c>
      <c r="I45" s="22" t="str">
        <f t="shared" ref="I45" si="39">CONCATENATE("  { """,B45,""" },  // #",A45," ",IF(C45&lt;0," EXIT SUBM",""))</f>
        <v xml:space="preserve">  { "(Btn CC)" },  // #43  EXIT SUBM</v>
      </c>
      <c r="J45" s="26" t="str">
        <f t="shared" ref="J45" si="40">CONCATENATE("  ",D45,", // #",A45," = ",B45,IF(C45&lt;0," EXIT ",""))</f>
        <v xml:space="preserve">  0, // #43 = (Btn CC) EXIT </v>
      </c>
      <c r="K45" s="26" t="str">
        <f t="shared" ref="K45" si="41">CONCATENATE("  ",E45,", // #",A45," = ",B45,IF(C45&lt;0," EXIT ",""))</f>
        <v xml:space="preserve">  0, // #43 = (Btn CC) EXIT </v>
      </c>
      <c r="L45" s="26" t="str">
        <f t="shared" ref="L45" si="42">CONCATENATE("  ",F45,", // #",A45," = ",B45,IF(C45&lt;0," EXIT ",""))</f>
        <v xml:space="preserve">  0, // #43 = (Btn CC) EXIT </v>
      </c>
      <c r="M45" s="26" t="str">
        <f t="shared" ref="M45" si="43">CONCATENATE("  ",C45,", // #",A45," = ",B45,IF(C45&lt;0," EXIT ",""))</f>
        <v xml:space="preserve">  -1, // #43 = (Btn CC) EXIT </v>
      </c>
      <c r="N45" s="28" t="s">
        <v>166</v>
      </c>
      <c r="O45" s="17"/>
    </row>
    <row r="46" spans="1:15" x14ac:dyDescent="0.25">
      <c r="A46" s="2">
        <f t="shared" si="6"/>
        <v>44</v>
      </c>
      <c r="B46" s="23" t="s">
        <v>103</v>
      </c>
      <c r="C46" s="20">
        <v>0</v>
      </c>
      <c r="D46" s="20">
        <v>0</v>
      </c>
      <c r="E46" s="20">
        <v>3</v>
      </c>
      <c r="F46" s="1">
        <v>0</v>
      </c>
      <c r="G46" s="12" t="s">
        <v>121</v>
      </c>
      <c r="H46" s="18" t="str">
        <f t="shared" ref="H46:H62" si="44">CONCATENATE("  ",G46,", // #",A46," = ",B46,IF(C46&lt;0," EXIT ",""))</f>
        <v xml:space="preserve">  m_btnmode1, // #44 = Btn 1 Mode</v>
      </c>
      <c r="I46" s="1" t="str">
        <f t="shared" ref="I46:I62" si="45">CONCATENATE("  { """,B46,""" },  // #",A46," ",IF(C46&lt;0," EXIT SUBM",""))</f>
        <v xml:space="preserve">  { "Btn 1 Mode" },  // #44 </v>
      </c>
      <c r="J46" s="18" t="str">
        <f t="shared" ref="J46:J62" si="46">CONCATENATE("  ",D46,", // #",A46," = ",B46,IF(C46&lt;0," EXIT ",""))</f>
        <v xml:space="preserve">  0, // #44 = Btn 1 Mode</v>
      </c>
      <c r="K46" s="18" t="str">
        <f t="shared" ref="K46:K62" si="47">CONCATENATE("  ",E46,", // #",A46," = ",B46,IF(C46&lt;0," EXIT ",""))</f>
        <v xml:space="preserve">  3, // #44 = Btn 1 Mode</v>
      </c>
      <c r="L46" s="18" t="str">
        <f t="shared" ref="L46:L62" si="48">CONCATENATE("  ",F46,", // #",A46," = ",B46,IF(C46&lt;0," EXIT ",""))</f>
        <v xml:space="preserve">  0, // #44 = Btn 1 Mode</v>
      </c>
      <c r="M46" s="18" t="str">
        <f t="shared" ref="M46:M62" si="49">CONCATENATE("  ",C46,", // #",A46," = ",B46,IF(C46&lt;0," EXIT ",""))</f>
        <v xml:space="preserve">  0, // #44 = Btn 1 Mode</v>
      </c>
      <c r="N46" s="28" t="s">
        <v>168</v>
      </c>
      <c r="O46" s="17"/>
    </row>
    <row r="47" spans="1:15" x14ac:dyDescent="0.25">
      <c r="A47" s="2">
        <f t="shared" si="6"/>
        <v>45</v>
      </c>
      <c r="B47" s="1" t="s">
        <v>104</v>
      </c>
      <c r="C47" s="1">
        <v>0</v>
      </c>
      <c r="D47" s="1">
        <v>0</v>
      </c>
      <c r="E47" s="21">
        <f>E46</f>
        <v>3</v>
      </c>
      <c r="F47" s="1">
        <v>0</v>
      </c>
      <c r="G47" s="12" t="s">
        <v>122</v>
      </c>
      <c r="H47" s="18" t="str">
        <f t="shared" si="44"/>
        <v xml:space="preserve">  m_btnmode2, // #45 = Btn 2 Mode</v>
      </c>
      <c r="I47" s="1" t="str">
        <f t="shared" si="45"/>
        <v xml:space="preserve">  { "Btn 2 Mode" },  // #45 </v>
      </c>
      <c r="J47" s="18" t="str">
        <f t="shared" si="46"/>
        <v xml:space="preserve">  0, // #45 = Btn 2 Mode</v>
      </c>
      <c r="K47" s="18" t="str">
        <f t="shared" si="47"/>
        <v xml:space="preserve">  3, // #45 = Btn 2 Mode</v>
      </c>
      <c r="L47" s="18" t="str">
        <f t="shared" si="48"/>
        <v xml:space="preserve">  0, // #45 = Btn 2 Mode</v>
      </c>
      <c r="M47" s="18" t="str">
        <f t="shared" si="49"/>
        <v xml:space="preserve">  0, // #45 = Btn 2 Mode</v>
      </c>
      <c r="O47" s="17"/>
    </row>
    <row r="48" spans="1:15" x14ac:dyDescent="0.25">
      <c r="A48" s="2">
        <f t="shared" si="6"/>
        <v>46</v>
      </c>
      <c r="B48" s="1" t="s">
        <v>105</v>
      </c>
      <c r="C48" s="1">
        <v>0</v>
      </c>
      <c r="D48" s="1">
        <v>0</v>
      </c>
      <c r="E48" s="21">
        <f t="shared" ref="E48:E61" si="50">E47</f>
        <v>3</v>
      </c>
      <c r="F48" s="1">
        <v>0</v>
      </c>
      <c r="G48" s="12" t="s">
        <v>123</v>
      </c>
      <c r="H48" s="18" t="str">
        <f t="shared" si="44"/>
        <v xml:space="preserve">  m_btnmode3, // #46 = Btn 3 Mode</v>
      </c>
      <c r="I48" s="1" t="str">
        <f t="shared" si="45"/>
        <v xml:space="preserve">  { "Btn 3 Mode" },  // #46 </v>
      </c>
      <c r="J48" s="18" t="str">
        <f t="shared" si="46"/>
        <v xml:space="preserve">  0, // #46 = Btn 3 Mode</v>
      </c>
      <c r="K48" s="18" t="str">
        <f t="shared" si="47"/>
        <v xml:space="preserve">  3, // #46 = Btn 3 Mode</v>
      </c>
      <c r="L48" s="18" t="str">
        <f t="shared" si="48"/>
        <v xml:space="preserve">  0, // #46 = Btn 3 Mode</v>
      </c>
      <c r="M48" s="18" t="str">
        <f t="shared" si="49"/>
        <v xml:space="preserve">  0, // #46 = Btn 3 Mode</v>
      </c>
      <c r="O48" s="17"/>
    </row>
    <row r="49" spans="1:15" x14ac:dyDescent="0.25">
      <c r="A49" s="2">
        <f t="shared" si="6"/>
        <v>47</v>
      </c>
      <c r="B49" s="1" t="s">
        <v>106</v>
      </c>
      <c r="C49" s="1">
        <v>0</v>
      </c>
      <c r="D49" s="1">
        <v>0</v>
      </c>
      <c r="E49" s="21">
        <f t="shared" si="50"/>
        <v>3</v>
      </c>
      <c r="F49" s="1">
        <v>0</v>
      </c>
      <c r="G49" s="12" t="s">
        <v>124</v>
      </c>
      <c r="H49" s="18" t="str">
        <f t="shared" si="44"/>
        <v xml:space="preserve">  m_btnmode4, // #47 = Btn 4 Mode</v>
      </c>
      <c r="I49" s="1" t="str">
        <f t="shared" si="45"/>
        <v xml:space="preserve">  { "Btn 4 Mode" },  // #47 </v>
      </c>
      <c r="J49" s="18" t="str">
        <f t="shared" si="46"/>
        <v xml:space="preserve">  0, // #47 = Btn 4 Mode</v>
      </c>
      <c r="K49" s="18" t="str">
        <f t="shared" si="47"/>
        <v xml:space="preserve">  3, // #47 = Btn 4 Mode</v>
      </c>
      <c r="L49" s="18" t="str">
        <f t="shared" si="48"/>
        <v xml:space="preserve">  0, // #47 = Btn 4 Mode</v>
      </c>
      <c r="M49" s="18" t="str">
        <f t="shared" si="49"/>
        <v xml:space="preserve">  0, // #47 = Btn 4 Mode</v>
      </c>
      <c r="O49" s="17"/>
    </row>
    <row r="50" spans="1:15" x14ac:dyDescent="0.25">
      <c r="A50" s="2">
        <f t="shared" si="6"/>
        <v>48</v>
      </c>
      <c r="B50" s="1" t="s">
        <v>107</v>
      </c>
      <c r="C50" s="1">
        <v>0</v>
      </c>
      <c r="D50" s="1">
        <v>0</v>
      </c>
      <c r="E50" s="21">
        <f t="shared" si="50"/>
        <v>3</v>
      </c>
      <c r="F50" s="1">
        <v>0</v>
      </c>
      <c r="G50" s="12" t="s">
        <v>125</v>
      </c>
      <c r="H50" s="18" t="str">
        <f t="shared" si="44"/>
        <v xml:space="preserve">  m_btnmode5, // #48 = Btn 5 Mode</v>
      </c>
      <c r="I50" s="1" t="str">
        <f t="shared" si="45"/>
        <v xml:space="preserve">  { "Btn 5 Mode" },  // #48 </v>
      </c>
      <c r="J50" s="18" t="str">
        <f t="shared" si="46"/>
        <v xml:space="preserve">  0, // #48 = Btn 5 Mode</v>
      </c>
      <c r="K50" s="18" t="str">
        <f t="shared" si="47"/>
        <v xml:space="preserve">  3, // #48 = Btn 5 Mode</v>
      </c>
      <c r="L50" s="18" t="str">
        <f t="shared" si="48"/>
        <v xml:space="preserve">  0, // #48 = Btn 5 Mode</v>
      </c>
      <c r="M50" s="18" t="str">
        <f t="shared" si="49"/>
        <v xml:space="preserve">  0, // #48 = Btn 5 Mode</v>
      </c>
      <c r="O50" s="17"/>
    </row>
    <row r="51" spans="1:15" x14ac:dyDescent="0.25">
      <c r="A51" s="2">
        <f t="shared" si="6"/>
        <v>49</v>
      </c>
      <c r="B51" s="1" t="s">
        <v>108</v>
      </c>
      <c r="C51" s="1">
        <v>0</v>
      </c>
      <c r="D51" s="1">
        <v>0</v>
      </c>
      <c r="E51" s="21">
        <f t="shared" si="50"/>
        <v>3</v>
      </c>
      <c r="F51" s="1">
        <v>0</v>
      </c>
      <c r="G51" s="12" t="s">
        <v>126</v>
      </c>
      <c r="H51" s="18" t="str">
        <f t="shared" si="44"/>
        <v xml:space="preserve">  m_btnmode6, // #49 = Btn 6 Mode</v>
      </c>
      <c r="I51" s="1" t="str">
        <f t="shared" si="45"/>
        <v xml:space="preserve">  { "Btn 6 Mode" },  // #49 </v>
      </c>
      <c r="J51" s="18" t="str">
        <f t="shared" si="46"/>
        <v xml:space="preserve">  0, // #49 = Btn 6 Mode</v>
      </c>
      <c r="K51" s="18" t="str">
        <f t="shared" si="47"/>
        <v xml:space="preserve">  3, // #49 = Btn 6 Mode</v>
      </c>
      <c r="L51" s="18" t="str">
        <f t="shared" si="48"/>
        <v xml:space="preserve">  0, // #49 = Btn 6 Mode</v>
      </c>
      <c r="M51" s="18" t="str">
        <f t="shared" si="49"/>
        <v xml:space="preserve">  0, // #49 = Btn 6 Mode</v>
      </c>
      <c r="O51" s="17"/>
    </row>
    <row r="52" spans="1:15" x14ac:dyDescent="0.25">
      <c r="A52" s="2">
        <f t="shared" si="6"/>
        <v>50</v>
      </c>
      <c r="B52" s="1" t="s">
        <v>109</v>
      </c>
      <c r="C52" s="1">
        <v>0</v>
      </c>
      <c r="D52" s="1">
        <v>0</v>
      </c>
      <c r="E52" s="21">
        <f t="shared" si="50"/>
        <v>3</v>
      </c>
      <c r="F52" s="1">
        <v>0</v>
      </c>
      <c r="G52" s="12" t="s">
        <v>127</v>
      </c>
      <c r="H52" s="18" t="str">
        <f t="shared" si="44"/>
        <v xml:space="preserve">  m_btnmode7, // #50 = Btn 7 Mode</v>
      </c>
      <c r="I52" s="1" t="str">
        <f t="shared" si="45"/>
        <v xml:space="preserve">  { "Btn 7 Mode" },  // #50 </v>
      </c>
      <c r="J52" s="18" t="str">
        <f t="shared" si="46"/>
        <v xml:space="preserve">  0, // #50 = Btn 7 Mode</v>
      </c>
      <c r="K52" s="18" t="str">
        <f t="shared" si="47"/>
        <v xml:space="preserve">  3, // #50 = Btn 7 Mode</v>
      </c>
      <c r="L52" s="18" t="str">
        <f t="shared" si="48"/>
        <v xml:space="preserve">  0, // #50 = Btn 7 Mode</v>
      </c>
      <c r="M52" s="18" t="str">
        <f t="shared" si="49"/>
        <v xml:space="preserve">  0, // #50 = Btn 7 Mode</v>
      </c>
      <c r="O52" s="17"/>
    </row>
    <row r="53" spans="1:15" x14ac:dyDescent="0.25">
      <c r="A53" s="2">
        <f t="shared" si="6"/>
        <v>51</v>
      </c>
      <c r="B53" s="1" t="s">
        <v>110</v>
      </c>
      <c r="C53" s="1">
        <v>0</v>
      </c>
      <c r="D53" s="1">
        <v>0</v>
      </c>
      <c r="E53" s="21">
        <f t="shared" si="50"/>
        <v>3</v>
      </c>
      <c r="F53" s="1">
        <v>0</v>
      </c>
      <c r="G53" s="12" t="s">
        <v>128</v>
      </c>
      <c r="H53" s="18" t="str">
        <f t="shared" si="44"/>
        <v xml:space="preserve">  m_btnmode8, // #51 = Btn 8 Mode</v>
      </c>
      <c r="I53" s="1" t="str">
        <f t="shared" si="45"/>
        <v xml:space="preserve">  { "Btn 8 Mode" },  // #51 </v>
      </c>
      <c r="J53" s="18" t="str">
        <f t="shared" si="46"/>
        <v xml:space="preserve">  0, // #51 = Btn 8 Mode</v>
      </c>
      <c r="K53" s="18" t="str">
        <f t="shared" si="47"/>
        <v xml:space="preserve">  3, // #51 = Btn 8 Mode</v>
      </c>
      <c r="L53" s="18" t="str">
        <f t="shared" si="48"/>
        <v xml:space="preserve">  0, // #51 = Btn 8 Mode</v>
      </c>
      <c r="M53" s="18" t="str">
        <f t="shared" si="49"/>
        <v xml:space="preserve">  0, // #51 = Btn 8 Mode</v>
      </c>
      <c r="O53" s="17"/>
    </row>
    <row r="54" spans="1:15" x14ac:dyDescent="0.25">
      <c r="A54" s="2">
        <f t="shared" si="6"/>
        <v>52</v>
      </c>
      <c r="B54" s="1" t="s">
        <v>111</v>
      </c>
      <c r="C54" s="1">
        <v>0</v>
      </c>
      <c r="D54" s="1">
        <v>0</v>
      </c>
      <c r="E54" s="21">
        <f t="shared" si="50"/>
        <v>3</v>
      </c>
      <c r="F54" s="1">
        <v>0</v>
      </c>
      <c r="G54" s="12" t="s">
        <v>129</v>
      </c>
      <c r="H54" s="18" t="str">
        <f t="shared" si="44"/>
        <v xml:space="preserve">  m_btnmode9, // #52 = Btn 9 Mode</v>
      </c>
      <c r="I54" s="1" t="str">
        <f t="shared" si="45"/>
        <v xml:space="preserve">  { "Btn 9 Mode" },  // #52 </v>
      </c>
      <c r="J54" s="18" t="str">
        <f t="shared" si="46"/>
        <v xml:space="preserve">  0, // #52 = Btn 9 Mode</v>
      </c>
      <c r="K54" s="18" t="str">
        <f t="shared" si="47"/>
        <v xml:space="preserve">  3, // #52 = Btn 9 Mode</v>
      </c>
      <c r="L54" s="18" t="str">
        <f t="shared" si="48"/>
        <v xml:space="preserve">  0, // #52 = Btn 9 Mode</v>
      </c>
      <c r="M54" s="18" t="str">
        <f t="shared" si="49"/>
        <v xml:space="preserve">  0, // #52 = Btn 9 Mode</v>
      </c>
      <c r="O54" s="17"/>
    </row>
    <row r="55" spans="1:15" x14ac:dyDescent="0.25">
      <c r="A55" s="2">
        <f t="shared" si="6"/>
        <v>53</v>
      </c>
      <c r="B55" s="1" t="s">
        <v>112</v>
      </c>
      <c r="C55" s="1">
        <v>0</v>
      </c>
      <c r="D55" s="1">
        <v>0</v>
      </c>
      <c r="E55" s="21">
        <f t="shared" si="50"/>
        <v>3</v>
      </c>
      <c r="F55" s="1">
        <v>0</v>
      </c>
      <c r="G55" s="12" t="s">
        <v>130</v>
      </c>
      <c r="H55" s="18" t="str">
        <f t="shared" si="44"/>
        <v xml:space="preserve">  m_btnmode10, // #53 = Btn 10 Mode</v>
      </c>
      <c r="I55" s="1" t="str">
        <f t="shared" si="45"/>
        <v xml:space="preserve">  { "Btn 10 Mode" },  // #53 </v>
      </c>
      <c r="J55" s="18" t="str">
        <f t="shared" si="46"/>
        <v xml:space="preserve">  0, // #53 = Btn 10 Mode</v>
      </c>
      <c r="K55" s="18" t="str">
        <f t="shared" si="47"/>
        <v xml:space="preserve">  3, // #53 = Btn 10 Mode</v>
      </c>
      <c r="L55" s="18" t="str">
        <f t="shared" si="48"/>
        <v xml:space="preserve">  0, // #53 = Btn 10 Mode</v>
      </c>
      <c r="M55" s="18" t="str">
        <f t="shared" si="49"/>
        <v xml:space="preserve">  0, // #53 = Btn 10 Mode</v>
      </c>
      <c r="O55" s="17"/>
    </row>
    <row r="56" spans="1:15" x14ac:dyDescent="0.25">
      <c r="A56" s="2">
        <f t="shared" si="6"/>
        <v>54</v>
      </c>
      <c r="B56" s="1" t="s">
        <v>113</v>
      </c>
      <c r="C56" s="1">
        <v>0</v>
      </c>
      <c r="D56" s="1">
        <v>0</v>
      </c>
      <c r="E56" s="21">
        <f t="shared" si="50"/>
        <v>3</v>
      </c>
      <c r="F56" s="1">
        <v>0</v>
      </c>
      <c r="G56" s="12" t="s">
        <v>131</v>
      </c>
      <c r="H56" s="18" t="str">
        <f t="shared" si="44"/>
        <v xml:space="preserve">  m_btnmode11, // #54 = Btn 11 Mode</v>
      </c>
      <c r="I56" s="1" t="str">
        <f t="shared" si="45"/>
        <v xml:space="preserve">  { "Btn 11 Mode" },  // #54 </v>
      </c>
      <c r="J56" s="18" t="str">
        <f t="shared" si="46"/>
        <v xml:space="preserve">  0, // #54 = Btn 11 Mode</v>
      </c>
      <c r="K56" s="18" t="str">
        <f t="shared" si="47"/>
        <v xml:space="preserve">  3, // #54 = Btn 11 Mode</v>
      </c>
      <c r="L56" s="18" t="str">
        <f t="shared" si="48"/>
        <v xml:space="preserve">  0, // #54 = Btn 11 Mode</v>
      </c>
      <c r="M56" s="18" t="str">
        <f t="shared" si="49"/>
        <v xml:space="preserve">  0, // #54 = Btn 11 Mode</v>
      </c>
      <c r="O56" s="17"/>
    </row>
    <row r="57" spans="1:15" x14ac:dyDescent="0.25">
      <c r="A57" s="2">
        <f t="shared" si="6"/>
        <v>55</v>
      </c>
      <c r="B57" s="1" t="s">
        <v>114</v>
      </c>
      <c r="C57" s="1">
        <v>0</v>
      </c>
      <c r="D57" s="1">
        <v>0</v>
      </c>
      <c r="E57" s="21">
        <f t="shared" si="50"/>
        <v>3</v>
      </c>
      <c r="F57" s="1">
        <v>0</v>
      </c>
      <c r="G57" s="12" t="s">
        <v>132</v>
      </c>
      <c r="H57" s="18" t="str">
        <f t="shared" si="44"/>
        <v xml:space="preserve">  m_btnmode12, // #55 = Btn 12 Mode</v>
      </c>
      <c r="I57" s="1" t="str">
        <f t="shared" si="45"/>
        <v xml:space="preserve">  { "Btn 12 Mode" },  // #55 </v>
      </c>
      <c r="J57" s="18" t="str">
        <f t="shared" si="46"/>
        <v xml:space="preserve">  0, // #55 = Btn 12 Mode</v>
      </c>
      <c r="K57" s="18" t="str">
        <f t="shared" si="47"/>
        <v xml:space="preserve">  3, // #55 = Btn 12 Mode</v>
      </c>
      <c r="L57" s="18" t="str">
        <f t="shared" si="48"/>
        <v xml:space="preserve">  0, // #55 = Btn 12 Mode</v>
      </c>
      <c r="M57" s="18" t="str">
        <f t="shared" si="49"/>
        <v xml:space="preserve">  0, // #55 = Btn 12 Mode</v>
      </c>
      <c r="O57" s="17"/>
    </row>
    <row r="58" spans="1:15" x14ac:dyDescent="0.25">
      <c r="A58" s="2">
        <f t="shared" si="6"/>
        <v>56</v>
      </c>
      <c r="B58" s="1" t="s">
        <v>115</v>
      </c>
      <c r="C58" s="1">
        <v>0</v>
      </c>
      <c r="D58" s="1">
        <v>0</v>
      </c>
      <c r="E58" s="21">
        <f t="shared" si="50"/>
        <v>3</v>
      </c>
      <c r="F58" s="1">
        <v>0</v>
      </c>
      <c r="G58" s="12" t="s">
        <v>133</v>
      </c>
      <c r="H58" s="18" t="str">
        <f t="shared" si="44"/>
        <v xml:space="preserve">  m_btnmode13, // #56 = Btn 13 Mode</v>
      </c>
      <c r="I58" s="1" t="str">
        <f t="shared" si="45"/>
        <v xml:space="preserve">  { "Btn 13 Mode" },  // #56 </v>
      </c>
      <c r="J58" s="18" t="str">
        <f t="shared" si="46"/>
        <v xml:space="preserve">  0, // #56 = Btn 13 Mode</v>
      </c>
      <c r="K58" s="18" t="str">
        <f t="shared" si="47"/>
        <v xml:space="preserve">  3, // #56 = Btn 13 Mode</v>
      </c>
      <c r="L58" s="18" t="str">
        <f t="shared" si="48"/>
        <v xml:space="preserve">  0, // #56 = Btn 13 Mode</v>
      </c>
      <c r="M58" s="18" t="str">
        <f t="shared" si="49"/>
        <v xml:space="preserve">  0, // #56 = Btn 13 Mode</v>
      </c>
      <c r="O58" s="17"/>
    </row>
    <row r="59" spans="1:15" x14ac:dyDescent="0.25">
      <c r="A59" s="2">
        <f t="shared" si="6"/>
        <v>57</v>
      </c>
      <c r="B59" s="1" t="s">
        <v>116</v>
      </c>
      <c r="C59" s="1">
        <v>0</v>
      </c>
      <c r="D59" s="1">
        <v>0</v>
      </c>
      <c r="E59" s="21">
        <f t="shared" si="50"/>
        <v>3</v>
      </c>
      <c r="F59" s="1">
        <v>0</v>
      </c>
      <c r="G59" s="12" t="s">
        <v>134</v>
      </c>
      <c r="H59" s="18" t="str">
        <f t="shared" si="44"/>
        <v xml:space="preserve">  m_btnmode14, // #57 = Btn 14 Mode</v>
      </c>
      <c r="I59" s="1" t="str">
        <f t="shared" si="45"/>
        <v xml:space="preserve">  { "Btn 14 Mode" },  // #57 </v>
      </c>
      <c r="J59" s="18" t="str">
        <f t="shared" si="46"/>
        <v xml:space="preserve">  0, // #57 = Btn 14 Mode</v>
      </c>
      <c r="K59" s="18" t="str">
        <f t="shared" si="47"/>
        <v xml:space="preserve">  3, // #57 = Btn 14 Mode</v>
      </c>
      <c r="L59" s="18" t="str">
        <f t="shared" si="48"/>
        <v xml:space="preserve">  0, // #57 = Btn 14 Mode</v>
      </c>
      <c r="M59" s="18" t="str">
        <f t="shared" si="49"/>
        <v xml:space="preserve">  0, // #57 = Btn 14 Mode</v>
      </c>
      <c r="O59" s="17"/>
    </row>
    <row r="60" spans="1:15" x14ac:dyDescent="0.25">
      <c r="A60" s="2">
        <f t="shared" si="6"/>
        <v>58</v>
      </c>
      <c r="B60" s="1" t="s">
        <v>117</v>
      </c>
      <c r="C60" s="1">
        <v>0</v>
      </c>
      <c r="D60" s="1">
        <v>0</v>
      </c>
      <c r="E60" s="21">
        <f t="shared" si="50"/>
        <v>3</v>
      </c>
      <c r="F60" s="1">
        <v>0</v>
      </c>
      <c r="G60" s="12" t="s">
        <v>135</v>
      </c>
      <c r="H60" s="18" t="str">
        <f t="shared" si="44"/>
        <v xml:space="preserve">  m_btnmode15, // #58 = Btn 15 Mode</v>
      </c>
      <c r="I60" s="1" t="str">
        <f t="shared" si="45"/>
        <v xml:space="preserve">  { "Btn 15 Mode" },  // #58 </v>
      </c>
      <c r="J60" s="18" t="str">
        <f t="shared" si="46"/>
        <v xml:space="preserve">  0, // #58 = Btn 15 Mode</v>
      </c>
      <c r="K60" s="18" t="str">
        <f t="shared" si="47"/>
        <v xml:space="preserve">  3, // #58 = Btn 15 Mode</v>
      </c>
      <c r="L60" s="18" t="str">
        <f t="shared" si="48"/>
        <v xml:space="preserve">  0, // #58 = Btn 15 Mode</v>
      </c>
      <c r="M60" s="18" t="str">
        <f t="shared" si="49"/>
        <v xml:space="preserve">  0, // #58 = Btn 15 Mode</v>
      </c>
      <c r="O60" s="17"/>
    </row>
    <row r="61" spans="1:15" x14ac:dyDescent="0.25">
      <c r="A61" s="2">
        <f t="shared" si="6"/>
        <v>59</v>
      </c>
      <c r="B61" s="1" t="s">
        <v>118</v>
      </c>
      <c r="C61" s="1">
        <v>0</v>
      </c>
      <c r="D61" s="1">
        <v>0</v>
      </c>
      <c r="E61" s="21">
        <f t="shared" si="50"/>
        <v>3</v>
      </c>
      <c r="F61" s="1">
        <v>0</v>
      </c>
      <c r="G61" s="12" t="s">
        <v>136</v>
      </c>
      <c r="H61" s="18" t="str">
        <f t="shared" si="44"/>
        <v xml:space="preserve">  m_btnmode16, // #59 = Btn 16 Mode</v>
      </c>
      <c r="I61" s="1" t="str">
        <f t="shared" si="45"/>
        <v xml:space="preserve">  { "Btn 16 Mode" },  // #59 </v>
      </c>
      <c r="J61" s="18" t="str">
        <f t="shared" si="46"/>
        <v xml:space="preserve">  0, // #59 = Btn 16 Mode</v>
      </c>
      <c r="K61" s="18" t="str">
        <f t="shared" si="47"/>
        <v xml:space="preserve">  3, // #59 = Btn 16 Mode</v>
      </c>
      <c r="L61" s="18" t="str">
        <f t="shared" si="48"/>
        <v xml:space="preserve">  0, // #59 = Btn 16 Mode</v>
      </c>
      <c r="M61" s="18" t="str">
        <f t="shared" si="49"/>
        <v xml:space="preserve">  0, // #59 = Btn 16 Mode</v>
      </c>
      <c r="O61" s="17"/>
    </row>
    <row r="62" spans="1:15" x14ac:dyDescent="0.25">
      <c r="A62" s="2">
        <f t="shared" si="6"/>
        <v>60</v>
      </c>
      <c r="B62" s="22" t="s">
        <v>161</v>
      </c>
      <c r="C62" s="22">
        <v>-1</v>
      </c>
      <c r="D62" s="22">
        <v>0</v>
      </c>
      <c r="E62" s="22">
        <v>0</v>
      </c>
      <c r="F62" s="22">
        <v>0</v>
      </c>
      <c r="G62" s="26" t="s">
        <v>120</v>
      </c>
      <c r="H62" s="26" t="str">
        <f t="shared" si="44"/>
        <v xml:space="preserve">  m_btnmode_back, // #60 = (Btn Mode) EXIT </v>
      </c>
      <c r="I62" s="22" t="str">
        <f t="shared" si="45"/>
        <v xml:space="preserve">  { "(Btn Mode)" },  // #60  EXIT SUBM</v>
      </c>
      <c r="J62" s="26" t="str">
        <f t="shared" si="46"/>
        <v xml:space="preserve">  0, // #60 = (Btn Mode) EXIT </v>
      </c>
      <c r="K62" s="26" t="str">
        <f t="shared" si="47"/>
        <v xml:space="preserve">  0, // #60 = (Btn Mode) EXIT </v>
      </c>
      <c r="L62" s="26" t="str">
        <f t="shared" si="48"/>
        <v xml:space="preserve">  0, // #60 = (Btn Mode) EXIT </v>
      </c>
      <c r="M62" s="26" t="str">
        <f t="shared" si="49"/>
        <v xml:space="preserve">  -1, // #60 = (Btn Mode) EXIT </v>
      </c>
      <c r="N62" s="28" t="s">
        <v>166</v>
      </c>
      <c r="O62" s="17"/>
    </row>
    <row r="63" spans="1:15" x14ac:dyDescent="0.25">
      <c r="A63" s="2">
        <f t="shared" si="6"/>
        <v>61</v>
      </c>
      <c r="B63" s="20" t="s">
        <v>4</v>
      </c>
      <c r="C63" s="20">
        <v>0</v>
      </c>
      <c r="D63" s="20">
        <v>0</v>
      </c>
      <c r="E63" s="24" t="s">
        <v>38</v>
      </c>
      <c r="F63" s="1" t="s">
        <v>31</v>
      </c>
      <c r="G63" s="16" t="s">
        <v>43</v>
      </c>
      <c r="H63" s="18" t="str">
        <f t="shared" ref="H63:H70" si="51">CONCATENATE("  ",G63,", // #",A63," = ",B63,IF(C63&lt;0," EXIT ",""))</f>
        <v xml:space="preserve">  m_driver_type, // #61 = Kbd Driver</v>
      </c>
      <c r="I63" s="1" t="str">
        <f t="shared" ref="I63:I70" si="52">CONCATENATE("  { """,B63,""" },  // #",A63," ",IF(C63&lt;0," EXIT SUBM",""))</f>
        <v xml:space="preserve">  { "Kbd Driver" },  // #61 </v>
      </c>
      <c r="J63" s="18" t="str">
        <f t="shared" ref="J63:J70" si="53">CONCATENATE("  ",D63,", // #",A63," = ",B63,IF(C63&lt;0," EXIT ",""))</f>
        <v xml:space="preserve">  0, // #61 = Kbd Driver</v>
      </c>
      <c r="K63" s="18" t="str">
        <f t="shared" ref="K63:K70" si="54">CONCATENATE("  ",E63,", // #",A63," = ",B63,IF(C63&lt;0," EXIT ",""))</f>
        <v xml:space="preserve">  drv_custom, // #61 = Kbd Driver</v>
      </c>
      <c r="L63" s="18" t="str">
        <f t="shared" ref="L63:L70" si="55">CONCATENATE("  ",F63,", // #",A63," = ",B63,IF(C63&lt;0," EXIT ",""))</f>
        <v xml:space="preserve">  drv_fatar1, // #61 = Kbd Driver</v>
      </c>
      <c r="M63" s="18" t="str">
        <f t="shared" ref="M63:M70" si="56">CONCATENATE("  ",C63,", // #",A63," = ",B63,IF(C63&lt;0," EXIT ",""))</f>
        <v xml:space="preserve">  0, // #61 = Kbd Driver</v>
      </c>
      <c r="N63" s="28" t="s">
        <v>169</v>
      </c>
      <c r="O63" s="17"/>
    </row>
    <row r="64" spans="1:15" x14ac:dyDescent="0.25">
      <c r="A64" s="2">
        <f t="shared" ref="A64:A70" si="57">A63+1</f>
        <v>62</v>
      </c>
      <c r="B64" s="1" t="s">
        <v>5</v>
      </c>
      <c r="C64" s="1">
        <v>0</v>
      </c>
      <c r="D64" s="1">
        <v>1</v>
      </c>
      <c r="E64" s="1">
        <v>40</v>
      </c>
      <c r="F64" s="1" t="s">
        <v>35</v>
      </c>
      <c r="G64" s="16" t="s">
        <v>44</v>
      </c>
      <c r="H64" s="18" t="str">
        <f t="shared" si="51"/>
        <v xml:space="preserve">  m_mindyn, // #62 = Velocity Min</v>
      </c>
      <c r="I64" s="1" t="str">
        <f t="shared" si="52"/>
        <v xml:space="preserve">  { "Velocity Min" },  // #62 </v>
      </c>
      <c r="J64" s="18" t="str">
        <f t="shared" si="53"/>
        <v xml:space="preserve">  1, // #62 = Velocity Min</v>
      </c>
      <c r="K64" s="18" t="str">
        <f t="shared" si="54"/>
        <v xml:space="preserve">  40, // #62 = Velocity Min</v>
      </c>
      <c r="L64" s="18" t="str">
        <f t="shared" si="55"/>
        <v xml:space="preserve">  MIDI_MINDYN, // #62 = Velocity Min</v>
      </c>
      <c r="M64" s="18" t="str">
        <f t="shared" si="56"/>
        <v xml:space="preserve">  0, // #62 = Velocity Min</v>
      </c>
      <c r="O64" s="17"/>
    </row>
    <row r="65" spans="1:15" x14ac:dyDescent="0.25">
      <c r="A65" s="2">
        <f t="shared" si="57"/>
        <v>63</v>
      </c>
      <c r="B65" s="1" t="s">
        <v>60</v>
      </c>
      <c r="C65" s="1">
        <v>0</v>
      </c>
      <c r="D65" s="1">
        <v>1</v>
      </c>
      <c r="E65" s="1">
        <v>40</v>
      </c>
      <c r="F65" s="1" t="s">
        <v>36</v>
      </c>
      <c r="G65" s="16" t="s">
        <v>45</v>
      </c>
      <c r="H65" s="18" t="str">
        <f t="shared" si="51"/>
        <v xml:space="preserve">  m_maxdynadj, // #63 = Velocity MaxAdj</v>
      </c>
      <c r="I65" s="1" t="str">
        <f t="shared" si="52"/>
        <v xml:space="preserve">  { "Velocity MaxAdj" },  // #63 </v>
      </c>
      <c r="J65" s="18" t="str">
        <f t="shared" si="53"/>
        <v xml:space="preserve">  1, // #63 = Velocity MaxAdj</v>
      </c>
      <c r="K65" s="18" t="str">
        <f t="shared" si="54"/>
        <v xml:space="preserve">  40, // #63 = Velocity MaxAdj</v>
      </c>
      <c r="L65" s="18" t="str">
        <f t="shared" si="55"/>
        <v xml:space="preserve">  MIDI_MAXDYNADJ, // #63 = Velocity MaxAdj</v>
      </c>
      <c r="M65" s="18" t="str">
        <f t="shared" si="56"/>
        <v xml:space="preserve">  0, // #63 = Velocity MaxAdj</v>
      </c>
      <c r="O65" s="17"/>
    </row>
    <row r="66" spans="1:15" x14ac:dyDescent="0.25">
      <c r="A66" s="2">
        <f t="shared" si="57"/>
        <v>64</v>
      </c>
      <c r="B66" s="1" t="s">
        <v>6</v>
      </c>
      <c r="C66" s="1">
        <v>0</v>
      </c>
      <c r="D66" s="1">
        <v>1</v>
      </c>
      <c r="E66" s="1">
        <v>30</v>
      </c>
      <c r="F66" s="1" t="s">
        <v>37</v>
      </c>
      <c r="G66" s="16" t="s">
        <v>46</v>
      </c>
      <c r="H66" s="18" t="str">
        <f t="shared" si="51"/>
        <v xml:space="preserve">  m_slope, // #64 = Velocity Slope</v>
      </c>
      <c r="I66" s="1" t="str">
        <f t="shared" si="52"/>
        <v xml:space="preserve">  { "Velocity Slope" },  // #64 </v>
      </c>
      <c r="J66" s="18" t="str">
        <f t="shared" si="53"/>
        <v xml:space="preserve">  1, // #64 = Velocity Slope</v>
      </c>
      <c r="K66" s="18" t="str">
        <f t="shared" si="54"/>
        <v xml:space="preserve">  30, // #64 = Velocity Slope</v>
      </c>
      <c r="L66" s="18" t="str">
        <f t="shared" si="55"/>
        <v xml:space="preserve">  MIDI_DYNSLOPE, // #64 = Velocity Slope</v>
      </c>
      <c r="M66" s="18" t="str">
        <f t="shared" si="56"/>
        <v xml:space="preserve">  0, // #64 = Velocity Slope</v>
      </c>
      <c r="O66" s="17"/>
    </row>
    <row r="67" spans="1:15" x14ac:dyDescent="0.25">
      <c r="A67" s="2">
        <f t="shared" si="57"/>
        <v>65</v>
      </c>
      <c r="B67" s="1" t="s">
        <v>15</v>
      </c>
      <c r="C67" s="1">
        <v>0</v>
      </c>
      <c r="D67" s="1">
        <v>12</v>
      </c>
      <c r="E67" s="1">
        <v>60</v>
      </c>
      <c r="F67" s="1" t="s">
        <v>32</v>
      </c>
      <c r="G67" s="16" t="s">
        <v>47</v>
      </c>
      <c r="H67" s="18" t="str">
        <f t="shared" si="51"/>
        <v xml:space="preserve">  m_upper_base, // #65 = Upper Base</v>
      </c>
      <c r="I67" s="1" t="str">
        <f t="shared" si="52"/>
        <v xml:space="preserve">  { "Upper Base" },  // #65 </v>
      </c>
      <c r="J67" s="18" t="str">
        <f t="shared" si="53"/>
        <v xml:space="preserve">  12, // #65 = Upper Base</v>
      </c>
      <c r="K67" s="18" t="str">
        <f t="shared" si="54"/>
        <v xml:space="preserve">  60, // #65 = Upper Base</v>
      </c>
      <c r="L67" s="18" t="str">
        <f t="shared" si="55"/>
        <v xml:space="preserve">  MIDI_BASE_UPR, // #65 = Upper Base</v>
      </c>
      <c r="M67" s="18" t="str">
        <f t="shared" si="56"/>
        <v xml:space="preserve">  0, // #65 = Upper Base</v>
      </c>
      <c r="O67" s="17"/>
    </row>
    <row r="68" spans="1:15" x14ac:dyDescent="0.25">
      <c r="A68" s="2">
        <f t="shared" si="57"/>
        <v>66</v>
      </c>
      <c r="B68" s="1" t="s">
        <v>16</v>
      </c>
      <c r="C68" s="1">
        <v>0</v>
      </c>
      <c r="D68" s="1">
        <v>12</v>
      </c>
      <c r="E68" s="1">
        <v>60</v>
      </c>
      <c r="F68" s="1" t="s">
        <v>33</v>
      </c>
      <c r="G68" s="16" t="s">
        <v>48</v>
      </c>
      <c r="H68" s="18" t="str">
        <f t="shared" si="51"/>
        <v xml:space="preserve">  m_lower_base, // #66 = Lower Base</v>
      </c>
      <c r="I68" s="1" t="str">
        <f t="shared" si="52"/>
        <v xml:space="preserve">  { "Lower Base" },  // #66 </v>
      </c>
      <c r="J68" s="18" t="str">
        <f t="shared" si="53"/>
        <v xml:space="preserve">  12, // #66 = Lower Base</v>
      </c>
      <c r="K68" s="18" t="str">
        <f t="shared" si="54"/>
        <v xml:space="preserve">  60, // #66 = Lower Base</v>
      </c>
      <c r="L68" s="18" t="str">
        <f t="shared" si="55"/>
        <v xml:space="preserve">  MIDI_BASE_LWR, // #66 = Lower Base</v>
      </c>
      <c r="M68" s="18" t="str">
        <f t="shared" si="56"/>
        <v xml:space="preserve">  0, // #66 = Lower Base</v>
      </c>
    </row>
    <row r="69" spans="1:15" x14ac:dyDescent="0.25">
      <c r="A69" s="2">
        <f t="shared" si="57"/>
        <v>67</v>
      </c>
      <c r="B69" s="1" t="s">
        <v>17</v>
      </c>
      <c r="C69" s="1">
        <v>0</v>
      </c>
      <c r="D69" s="1">
        <v>12</v>
      </c>
      <c r="E69" s="1">
        <v>60</v>
      </c>
      <c r="F69" s="1" t="s">
        <v>34</v>
      </c>
      <c r="G69" s="16" t="s">
        <v>49</v>
      </c>
      <c r="H69" s="18" t="str">
        <f t="shared" si="51"/>
        <v xml:space="preserve">  m_pedal_base, // #67 = Pedal Base</v>
      </c>
      <c r="I69" s="1" t="str">
        <f t="shared" si="52"/>
        <v xml:space="preserve">  { "Pedal Base" },  // #67 </v>
      </c>
      <c r="J69" s="18" t="str">
        <f t="shared" si="53"/>
        <v xml:space="preserve">  12, // #67 = Pedal Base</v>
      </c>
      <c r="K69" s="18" t="str">
        <f t="shared" si="54"/>
        <v xml:space="preserve">  60, // #67 = Pedal Base</v>
      </c>
      <c r="L69" s="18" t="str">
        <f t="shared" si="55"/>
        <v xml:space="preserve">  MIDI_BASE_PED, // #67 = Pedal Base</v>
      </c>
      <c r="M69" s="18" t="str">
        <f t="shared" si="56"/>
        <v xml:space="preserve">  0, // #67 = Pedal Base</v>
      </c>
    </row>
    <row r="70" spans="1:15" x14ac:dyDescent="0.25">
      <c r="A70" s="2">
        <f t="shared" si="57"/>
        <v>68</v>
      </c>
      <c r="B70" s="22" t="s">
        <v>162</v>
      </c>
      <c r="C70" s="22">
        <v>-1</v>
      </c>
      <c r="D70" s="22">
        <v>0</v>
      </c>
      <c r="E70" s="22">
        <v>0</v>
      </c>
      <c r="F70" s="22">
        <v>0</v>
      </c>
      <c r="G70" s="26" t="s">
        <v>62</v>
      </c>
      <c r="H70" s="26" t="str">
        <f t="shared" si="51"/>
        <v xml:space="preserve">  m_kbd_back, // #68 = (Keyboard) EXIT </v>
      </c>
      <c r="I70" s="22" t="str">
        <f t="shared" si="52"/>
        <v xml:space="preserve">  { "(Keyboard)" },  // #68  EXIT SUBM</v>
      </c>
      <c r="J70" s="26" t="str">
        <f t="shared" si="53"/>
        <v xml:space="preserve">  0, // #68 = (Keyboard) EXIT </v>
      </c>
      <c r="K70" s="26" t="str">
        <f t="shared" si="54"/>
        <v xml:space="preserve">  0, // #68 = (Keyboard) EXIT </v>
      </c>
      <c r="L70" s="26" t="str">
        <f t="shared" si="55"/>
        <v xml:space="preserve">  0, // #68 = (Keyboard) EXIT </v>
      </c>
      <c r="M70" s="26" t="str">
        <f t="shared" si="56"/>
        <v xml:space="preserve">  -1, // #68 = (Keyboard) EXIT </v>
      </c>
      <c r="N70" s="28" t="s">
        <v>166</v>
      </c>
    </row>
    <row r="71" spans="1:15" x14ac:dyDescent="0.25">
      <c r="A71" s="2"/>
      <c r="G71" s="16"/>
      <c r="H71" s="15" t="s">
        <v>20</v>
      </c>
      <c r="I71" s="1" t="s">
        <v>20</v>
      </c>
      <c r="J71" s="1" t="s">
        <v>20</v>
      </c>
      <c r="K71" s="1" t="s">
        <v>20</v>
      </c>
      <c r="L71" s="1" t="s">
        <v>20</v>
      </c>
      <c r="M71" s="1" t="s">
        <v>20</v>
      </c>
    </row>
    <row r="72" spans="1:15" x14ac:dyDescent="0.25">
      <c r="A72" s="5"/>
      <c r="B72" s="3"/>
      <c r="H72" s="16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HX3-Framework</vt:lpstr>
      <vt:lpstr>ScanController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 Meyer</dc:creator>
  <cp:lastModifiedBy>Carsten</cp:lastModifiedBy>
  <dcterms:created xsi:type="dcterms:W3CDTF">2026-02-08T08:40:39Z</dcterms:created>
  <dcterms:modified xsi:type="dcterms:W3CDTF">2026-02-15T15:42:12Z</dcterms:modified>
</cp:coreProperties>
</file>